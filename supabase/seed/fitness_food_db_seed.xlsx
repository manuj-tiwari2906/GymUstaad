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shes" sheetId="2" state="visible" r:id="rId2"/>
    <sheet xmlns:r="http://schemas.openxmlformats.org/officeDocument/2006/relationships" name="Backlog" sheetId="3" state="visible" r:id="rId3"/>
    <sheet xmlns:r="http://schemas.openxmlformats.org/officeDocument/2006/relationships" name="Sources" sheetId="4" state="visible" r:id="rId4"/>
    <sheet xmlns:r="http://schemas.openxmlformats.org/officeDocument/2006/relationships" name="Conversions" sheetId="5" state="visible" r:id="rId5"/>
  </sheets>
  <definedNames/>
  <calcPr calcId="124519" fullCalcOnLoad="1"/>
</workbook>
</file>

<file path=xl/styles.xml><?xml version="1.0" encoding="utf-8"?>
<styleSheet xmlns="http://schemas.openxmlformats.org/spreadsheetml/2006/main">
  <numFmts count="1">
    <numFmt numFmtId="164" formatCode="0.0&quot;x&quot;"/>
  </numFmts>
  <fonts count="6">
    <font>
      <name val="Calibri"/>
      <family val="2"/>
      <color theme="1"/>
      <sz val="11"/>
      <scheme val="minor"/>
    </font>
    <font>
      <name val="Arial"/>
      <sz val="10"/>
    </font>
    <font>
      <name val="Arial"/>
      <color rgb="000000FF"/>
      <sz val="10"/>
    </font>
    <font>
      <name val="Arial"/>
      <b val="1"/>
      <color rgb="00FFFFFF"/>
      <sz val="10"/>
    </font>
    <font>
      <name val="Arial"/>
      <b val="1"/>
      <sz val="14"/>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4" fillId="0" borderId="0" pivotButton="0" quotePrefix="0" xfId="0"/>
    <xf numFmtId="0" fontId="5" fillId="0" borderId="1" applyAlignment="1" pivotButton="0" quotePrefix="0" xfId="0">
      <alignment vertical="top" wrapText="1"/>
    </xf>
    <xf numFmtId="0" fontId="1" fillId="0" borderId="1" applyAlignment="1" pivotButton="0" quotePrefix="0" xfId="0">
      <alignment vertical="top" wrapText="1"/>
    </xf>
    <xf numFmtId="0" fontId="5" fillId="0" borderId="0" pivotButton="0" quotePrefix="0" xfId="0"/>
    <xf numFmtId="0" fontId="1" fillId="0" borderId="0" pivotButton="0" quotePrefix="0" xfId="0"/>
    <xf numFmtId="0" fontId="1" fillId="0" borderId="0" applyAlignment="1" pivotButton="0" quotePrefix="0" xfId="0">
      <alignment horizontal="left"/>
    </xf>
    <xf numFmtId="0" fontId="3" fillId="2" borderId="1" applyAlignment="1" pivotButton="0" quotePrefix="0" xfId="0">
      <alignment vertical="center" wrapText="1"/>
    </xf>
    <xf numFmtId="0" fontId="2" fillId="0" borderId="1" applyAlignment="1" pivotButton="0" quotePrefix="0" xfId="0">
      <alignment vertical="top" wrapText="1"/>
    </xf>
    <xf numFmtId="9" fontId="1" fillId="0" borderId="1" applyAlignment="1" pivotButton="0" quotePrefix="0" xfId="0">
      <alignment vertical="top" wrapText="1"/>
    </xf>
    <xf numFmtId="164" fontId="1" fillId="0" borderId="1" applyAlignment="1" pivotButton="0" quotePrefix="0" xfId="0">
      <alignment vertical="top" wrapText="1"/>
    </xf>
    <xf numFmtId="1" fontId="1"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110" customWidth="1" min="2" max="2"/>
  </cols>
  <sheetData>
    <row r="1">
      <c r="A1" s="1" t="inlineStr">
        <is>
          <t>Fitness app, food database seed</t>
        </is>
      </c>
    </row>
    <row r="3">
      <c r="A3" s="2" t="inlineStr">
        <is>
          <t>Status</t>
        </is>
      </c>
      <c r="B3" s="3" t="inlineStr">
        <is>
          <t>A starter database with real sources and an honest work queue. It is NOT the full database. Only 15 dishes are filled, and only 11 of those are lab-measured.</t>
        </is>
      </c>
    </row>
    <row r="4">
      <c r="A4" s="2" t="inlineStr">
        <is>
          <t>Why not every dish</t>
        </is>
      </c>
      <c r="B4" s="3" t="inlineStr">
        <is>
          <t>No source publishes an 'average oil used' for Indian restaurant dishes. Where no measured or published value was found, the dish sits in the Backlog sheet with its numbers blank, instead of a guess filling the cell. A guess in a health app looks the same as data to the user.</t>
        </is>
      </c>
    </row>
    <row r="5">
      <c r="A5" s="2" t="inlineStr">
        <is>
          <t>What is stored</t>
        </is>
      </c>
      <c r="B5" s="3" t="inlineStr">
        <is>
          <t>Total fat and calories per serving as low / typical / high, not 'oil in grams'. Labs report total fat, which includes fat from the chicken, paneer and cream. Oil alone is not separable.</t>
        </is>
      </c>
    </row>
    <row r="6">
      <c r="A6" s="2" t="inlineStr">
        <is>
          <t>How the app would use it</t>
        </is>
      </c>
      <c r="B6" s="3" t="inlineStr">
        <is>
          <t>The 'oil: less / normal / more' tap maps to kcal_low / kcal_typ / kcal_high. Caution: low and high here are sample minimum and maximum, which are wider than what 'less' and 'more' should mean. When raw data is available, switch to the 25th and 75th percentile.</t>
        </is>
      </c>
    </row>
    <row r="7">
      <c r="A7" s="2" t="inlineStr">
        <is>
          <t>Confidence grades</t>
        </is>
      </c>
      <c r="B7" s="3" t="inlineStr">
        <is>
          <t>A = lab-measured sample. B = published reference or chain label value. C = placeholder from a low-quality source, do not show users. Backlog = nothing yet.</t>
        </is>
      </c>
    </row>
    <row r="8">
      <c r="A8" s="2" t="inlineStr">
        <is>
          <t>Important limit</t>
        </is>
      </c>
      <c r="B8" s="3" t="inlineStr">
        <is>
          <t>The Grade A rows are UK and Irish takeaway versions of Indian dishes, with portions of 500 g or more. They show how large the spread is. They do NOT represent a dhaba in Uttar Pradesh. Do not load them as India values.</t>
        </is>
      </c>
    </row>
    <row r="9">
      <c r="A9" s="2" t="inlineStr">
        <is>
          <t>Biggest lesson so far</t>
        </is>
      </c>
      <c r="B9" s="3" t="inlineStr">
        <is>
          <t>The same dish varies 4x in calories. Chicken tikka masala measured 510 to 2,033 kcal per portion in one lab study. Chow mein fat per 100 g differs about 2.7x between two published sources. A single 'average' number would hide this, so every entry keeps a range.</t>
        </is>
      </c>
    </row>
    <row r="10">
      <c r="A10" s="2" t="inlineStr">
        <is>
          <t>Chain labels understate</t>
        </is>
      </c>
      <c r="B10" s="3" t="inlineStr">
        <is>
          <t>A Tufts lab study found restaurant items averaged 18% above their stated calories, mostly from oversized portions (S6). Treat chain-label values as a floor, not exact.</t>
        </is>
      </c>
    </row>
    <row r="11">
      <c r="A11" s="2" t="inlineStr">
        <is>
          <t>Calculated columns</t>
        </is>
      </c>
      <c r="B11" s="3" t="inlineStr">
        <is>
          <t>fat_share_of_kcal = fat_g_typ x 9 / kcal_typ. kcal_spread_ratio = kcal_high / kcal_low. kcal_per_100g = kcal_typ / serving_g x 100. Black text = formula, blue text = hardcoded input from a source.</t>
        </is>
      </c>
    </row>
    <row r="12">
      <c r="A12" s="2" t="inlineStr">
        <is>
          <t>What to edit</t>
        </is>
      </c>
      <c r="B12" s="3" t="inlineStr">
        <is>
          <t>Blue cells in Dishes are source inputs. Change them only with a cited source and update source_id. Add new dishes by moving a row from Backlog into Dishes.</t>
        </is>
      </c>
    </row>
    <row r="13">
      <c r="A13" s="2" t="inlineStr">
        <is>
          <t>Cooked vs raw</t>
        </is>
      </c>
      <c r="B13" s="3" t="inlineStr">
        <is>
          <t>Every food has a food_state: cooked, raw, as_served (roti, egg, fruit, packaged) or cooked_dish. Nutrition is stored in the state it is logged in. Rice, dal, rajma, oats, pasta and chicken need a cooked/raw choice, and the Conversions sheet holds estimated factors that are NOT yet verified. Roti, idli and dosa are counted in pieces, not grams. All current dishes are cooked_dish.</t>
        </is>
      </c>
    </row>
    <row r="14">
      <c r="A14" s="2" t="inlineStr">
        <is>
          <t>Diet tags</t>
        </is>
      </c>
      <c r="B14" s="3" t="inlineStr">
        <is>
          <t>contains_lactose, contains_gluten, contains_nuts, contains_egg are yes / no / check. diet_type is veg or non-veg. light_digest marks foods suitable for an upset-stomach phase. Tags are DRAFTS made from the dish name. Check each against the real recipe before the app relies on them for a serious allergy.</t>
        </is>
      </c>
    </row>
    <row r="15">
      <c r="A15" s="2" t="inlineStr">
        <is>
          <t>Next step</t>
        </is>
      </c>
      <c r="B15" s="3" t="inlineStr">
        <is>
          <t>Fill Backlog priority 1 (21 dishes) in batches of 5 to 10, using IFCT 2017 for home dishes and lab-measured studies where they exist.</t>
        </is>
      </c>
    </row>
    <row r="17">
      <c r="A17" s="4" t="inlineStr">
        <is>
          <t>Row counts</t>
        </is>
      </c>
    </row>
    <row r="18">
      <c r="A18" s="5" t="inlineStr">
        <is>
          <t>Dishes, grade A</t>
        </is>
      </c>
      <c r="B18" s="6">
        <f>COUNTIF(Dishes!Q:Q,"A")</f>
        <v/>
      </c>
    </row>
    <row r="19">
      <c r="A19" s="5" t="inlineStr">
        <is>
          <t>Dishes, grade B</t>
        </is>
      </c>
      <c r="B19" s="6">
        <f>COUNTIF(Dishes!Q:Q,"B")</f>
        <v/>
      </c>
    </row>
    <row r="20">
      <c r="A20" s="5" t="inlineStr">
        <is>
          <t>Dishes, grade C</t>
        </is>
      </c>
      <c r="B20" s="6">
        <f>COUNTIF(Dishes!Q:Q,"C")</f>
        <v/>
      </c>
    </row>
    <row r="21">
      <c r="A21" s="5" t="inlineStr">
        <is>
          <t>Backlog, not started</t>
        </is>
      </c>
      <c r="B21" s="6">
        <f>COUNTIF(Backlog!F:F,"not started")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20" customWidth="1" min="3" max="3"/>
    <col width="18" customWidth="1" min="4" max="4"/>
    <col width="24" customWidth="1" min="5" max="5"/>
    <col width="10" customWidth="1" min="6" max="6"/>
    <col width="9" customWidth="1" min="7" max="7"/>
    <col width="9" customWidth="1" min="8" max="8"/>
    <col width="9" customWidth="1" min="9" max="9"/>
    <col width="9" customWidth="1" min="10" max="10"/>
    <col width="9" customWidth="1" min="11" max="11"/>
    <col width="9" customWidth="1" min="12" max="12"/>
    <col width="11" customWidth="1" min="13" max="13"/>
    <col width="12" customWidth="1" min="14" max="14"/>
    <col width="12" customWidth="1" min="15" max="15"/>
    <col width="11" customWidth="1" min="16" max="16"/>
    <col width="11" customWidth="1" min="17" max="17"/>
    <col width="10" customWidth="1" min="18" max="18"/>
    <col width="70"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30" customWidth="1" min="28" max="28"/>
  </cols>
  <sheetData>
    <row r="1" ht="32" customHeight="1">
      <c r="A1" s="7" t="inlineStr">
        <is>
          <t>id</t>
        </is>
      </c>
      <c r="B1" s="7" t="inlineStr">
        <is>
          <t>dish</t>
        </is>
      </c>
      <c r="C1" s="7" t="inlineStr">
        <is>
          <t>category</t>
        </is>
      </c>
      <c r="D1" s="7" t="inlineStr">
        <is>
          <t>setting</t>
        </is>
      </c>
      <c r="E1" s="7" t="inlineStr">
        <is>
          <t>serving_desc</t>
        </is>
      </c>
      <c r="F1" s="7" t="inlineStr">
        <is>
          <t>serving_g</t>
        </is>
      </c>
      <c r="G1" s="7" t="inlineStr">
        <is>
          <t>kcal_low</t>
        </is>
      </c>
      <c r="H1" s="7" t="inlineStr">
        <is>
          <t>kcal_typ</t>
        </is>
      </c>
      <c r="I1" s="7" t="inlineStr">
        <is>
          <t>kcal_high</t>
        </is>
      </c>
      <c r="J1" s="7" t="inlineStr">
        <is>
          <t>fat_g_low</t>
        </is>
      </c>
      <c r="K1" s="7" t="inlineStr">
        <is>
          <t>fat_g_typ</t>
        </is>
      </c>
      <c r="L1" s="7" t="inlineStr">
        <is>
          <t>fat_g_high</t>
        </is>
      </c>
      <c r="M1" s="7" t="inlineStr">
        <is>
          <t>protein_g_typ</t>
        </is>
      </c>
      <c r="N1" s="7" t="inlineStr">
        <is>
          <t>fat_share_of_kcal</t>
        </is>
      </c>
      <c r="O1" s="7" t="inlineStr">
        <is>
          <t>kcal_spread_ratio</t>
        </is>
      </c>
      <c r="P1" s="7" t="inlineStr">
        <is>
          <t>kcal_per_100g</t>
        </is>
      </c>
      <c r="Q1" s="7" t="inlineStr">
        <is>
          <t>confidence</t>
        </is>
      </c>
      <c r="R1" s="7" t="inlineStr">
        <is>
          <t>source_id</t>
        </is>
      </c>
      <c r="S1" s="7" t="inlineStr">
        <is>
          <t>notes</t>
        </is>
      </c>
      <c r="T1" s="7" t="inlineStr">
        <is>
          <t>food_state</t>
        </is>
      </c>
      <c r="U1" s="7" t="inlineStr">
        <is>
          <t>raw_to_cooked_factor</t>
        </is>
      </c>
      <c r="V1" s="7" t="inlineStr">
        <is>
          <t>contains_lactose</t>
        </is>
      </c>
      <c r="W1" s="7" t="inlineStr">
        <is>
          <t>contains_gluten</t>
        </is>
      </c>
      <c r="X1" s="7" t="inlineStr">
        <is>
          <t>contains_nuts</t>
        </is>
      </c>
      <c r="Y1" s="7" t="inlineStr">
        <is>
          <t>contains_egg</t>
        </is>
      </c>
      <c r="Z1" s="7" t="inlineStr">
        <is>
          <t>diet_type</t>
        </is>
      </c>
      <c r="AA1" s="7" t="inlineStr">
        <is>
          <t>light_digest</t>
        </is>
      </c>
      <c r="AB1" s="7" t="inlineStr">
        <is>
          <t>tag_status</t>
        </is>
      </c>
    </row>
    <row r="2">
      <c r="A2" s="3" t="inlineStr">
        <is>
          <t>D001</t>
        </is>
      </c>
      <c r="B2" s="3" t="inlineStr">
        <is>
          <t>Chicken tikka masala</t>
        </is>
      </c>
      <c r="C2" s="3" t="inlineStr">
        <is>
          <t>Curry, non-veg</t>
        </is>
      </c>
      <c r="D2" s="3" t="inlineStr">
        <is>
          <t>Takeaway (UK/IE)</t>
        </is>
      </c>
      <c r="E2" s="3" t="inlineStr">
        <is>
          <t>Avg takeaway portion</t>
        </is>
      </c>
      <c r="F2" s="8" t="n">
        <v>523</v>
      </c>
      <c r="G2" s="8" t="n">
        <v>510</v>
      </c>
      <c r="H2" s="8" t="n">
        <v>1249</v>
      </c>
      <c r="I2" s="8" t="n">
        <v>2033</v>
      </c>
      <c r="J2" s="8" t="n">
        <v>25</v>
      </c>
      <c r="K2" s="8" t="n">
        <v>90.8</v>
      </c>
      <c r="L2" s="8" t="n">
        <v>173</v>
      </c>
      <c r="M2" s="8" t="n">
        <v>62.6</v>
      </c>
      <c r="N2" s="9">
        <f>IFERROR(K2*9/H2,"")</f>
        <v/>
      </c>
      <c r="O2" s="10">
        <f>IFERROR(I2/G2,"")</f>
        <v/>
      </c>
      <c r="P2" s="11">
        <f>IFERROR(H2/F2*100,"")</f>
        <v/>
      </c>
      <c r="Q2" s="3" t="inlineStr">
        <is>
          <t>A</t>
        </is>
      </c>
      <c r="R2" s="3" t="inlineStr">
        <is>
          <t>S1</t>
        </is>
      </c>
      <c r="S2" s="3" t="inlineStr">
        <is>
          <t>Lab-analysed UK/Ireland takeaway average (Safefood 2015, n=30 per main/starter, n=20 per side). Not Indian-subcontinent portions or recipes. Portion is enough for two people. Min and max are sample extremes.</t>
        </is>
      </c>
      <c r="T2" s="3" t="inlineStr">
        <is>
          <t>cooked_dish</t>
        </is>
      </c>
      <c r="U2" s="3" t="n"/>
      <c r="V2" s="3" t="inlineStr">
        <is>
          <t>yes</t>
        </is>
      </c>
      <c r="W2" s="3" t="inlineStr">
        <is>
          <t>no</t>
        </is>
      </c>
      <c r="X2" s="3" t="inlineStr">
        <is>
          <t>check</t>
        </is>
      </c>
      <c r="Y2" s="3" t="inlineStr">
        <is>
          <t>no</t>
        </is>
      </c>
      <c r="Z2" s="3" t="inlineStr">
        <is>
          <t>non-veg</t>
        </is>
      </c>
      <c r="AA2" s="3" t="inlineStr">
        <is>
          <t>no</t>
        </is>
      </c>
      <c r="AB2" s="3" t="inlineStr">
        <is>
          <t>draft from dish name, check recipe</t>
        </is>
      </c>
    </row>
    <row r="3">
      <c r="A3" s="3" t="inlineStr">
        <is>
          <t>D002</t>
        </is>
      </c>
      <c r="B3" s="3" t="inlineStr">
        <is>
          <t>Chicken korma</t>
        </is>
      </c>
      <c r="C3" s="3" t="inlineStr">
        <is>
          <t>Curry, non-veg</t>
        </is>
      </c>
      <c r="D3" s="3" t="inlineStr">
        <is>
          <t>Takeaway (UK/IE)</t>
        </is>
      </c>
      <c r="E3" s="3" t="inlineStr">
        <is>
          <t>Avg takeaway portion</t>
        </is>
      </c>
      <c r="F3" s="8" t="n">
        <v>518</v>
      </c>
      <c r="G3" s="8" t="n">
        <v>646</v>
      </c>
      <c r="H3" s="8" t="n">
        <v>1248</v>
      </c>
      <c r="I3" s="8" t="n">
        <v>2074</v>
      </c>
      <c r="J3" s="8" t="n">
        <v>29</v>
      </c>
      <c r="K3" s="8" t="n">
        <v>91.40000000000001</v>
      </c>
      <c r="L3" s="8" t="n">
        <v>169</v>
      </c>
      <c r="M3" s="8" t="n">
        <v>63.9</v>
      </c>
      <c r="N3" s="9">
        <f>IFERROR(K3*9/H3,"")</f>
        <v/>
      </c>
      <c r="O3" s="10">
        <f>IFERROR(I3/G3,"")</f>
        <v/>
      </c>
      <c r="P3" s="11">
        <f>IFERROR(H3/F3*100,"")</f>
        <v/>
      </c>
      <c r="Q3" s="3" t="inlineStr">
        <is>
          <t>A</t>
        </is>
      </c>
      <c r="R3" s="3" t="inlineStr">
        <is>
          <t>S1</t>
        </is>
      </c>
      <c r="S3" s="3" t="inlineStr">
        <is>
          <t>Lab-analysed UK/Ireland takeaway average (Safefood 2015, n=30 per main/starter, n=20 per side). Not Indian-subcontinent portions or recipes.</t>
        </is>
      </c>
      <c r="T3" s="3" t="inlineStr">
        <is>
          <t>cooked_dish</t>
        </is>
      </c>
      <c r="U3" s="3" t="n"/>
      <c r="V3" s="3" t="inlineStr">
        <is>
          <t>yes</t>
        </is>
      </c>
      <c r="W3" s="3" t="inlineStr">
        <is>
          <t>no</t>
        </is>
      </c>
      <c r="X3" s="3" t="inlineStr">
        <is>
          <t>yes</t>
        </is>
      </c>
      <c r="Y3" s="3" t="inlineStr">
        <is>
          <t>no</t>
        </is>
      </c>
      <c r="Z3" s="3" t="inlineStr">
        <is>
          <t>non-veg</t>
        </is>
      </c>
      <c r="AA3" s="3" t="inlineStr">
        <is>
          <t>no</t>
        </is>
      </c>
      <c r="AB3" s="3" t="inlineStr">
        <is>
          <t>draft from dish name, check recipe</t>
        </is>
      </c>
    </row>
    <row r="4">
      <c r="A4" s="3" t="inlineStr">
        <is>
          <t>D003</t>
        </is>
      </c>
      <c r="B4" s="3" t="inlineStr">
        <is>
          <t>Chicken jalfrezi</t>
        </is>
      </c>
      <c r="C4" s="3" t="inlineStr">
        <is>
          <t>Curry, non-veg</t>
        </is>
      </c>
      <c r="D4" s="3" t="inlineStr">
        <is>
          <t>Takeaway (UK/IE)</t>
        </is>
      </c>
      <c r="E4" s="3" t="inlineStr">
        <is>
          <t>Avg takeaway portion</t>
        </is>
      </c>
      <c r="F4" s="8" t="n">
        <v>539</v>
      </c>
      <c r="G4" s="8" t="n">
        <v>457</v>
      </c>
      <c r="H4" s="8" t="n">
        <v>721</v>
      </c>
      <c r="I4" s="8" t="n">
        <v>924</v>
      </c>
      <c r="J4" s="8" t="n">
        <v>13</v>
      </c>
      <c r="K4" s="8" t="n">
        <v>37.4</v>
      </c>
      <c r="L4" s="8" t="n">
        <v>62</v>
      </c>
      <c r="M4" s="8" t="n">
        <v>59.4</v>
      </c>
      <c r="N4" s="9">
        <f>IFERROR(K4*9/H4,"")</f>
        <v/>
      </c>
      <c r="O4" s="10">
        <f>IFERROR(I4/G4,"")</f>
        <v/>
      </c>
      <c r="P4" s="11">
        <f>IFERROR(H4/F4*100,"")</f>
        <v/>
      </c>
      <c r="Q4" s="3" t="inlineStr">
        <is>
          <t>A</t>
        </is>
      </c>
      <c r="R4" s="3" t="inlineStr">
        <is>
          <t>S1</t>
        </is>
      </c>
      <c r="S4" s="3" t="inlineStr">
        <is>
          <t>Lab-analysed UK/Ireland takeaway average (Safefood 2015, n=30 per main/starter, n=20 per side). Not Indian-subcontinent portions or recipes. No cream, so roughly half the fat of tikka masala.</t>
        </is>
      </c>
      <c r="T4" s="3" t="inlineStr">
        <is>
          <t>cooked_dish</t>
        </is>
      </c>
      <c r="U4" s="3" t="n"/>
      <c r="V4" s="3" t="inlineStr">
        <is>
          <t>check</t>
        </is>
      </c>
      <c r="W4" s="3" t="inlineStr">
        <is>
          <t>no</t>
        </is>
      </c>
      <c r="X4" s="3" t="inlineStr">
        <is>
          <t>no</t>
        </is>
      </c>
      <c r="Y4" s="3" t="inlineStr">
        <is>
          <t>no</t>
        </is>
      </c>
      <c r="Z4" s="3" t="inlineStr">
        <is>
          <t>non-veg</t>
        </is>
      </c>
      <c r="AA4" s="3" t="inlineStr">
        <is>
          <t>no</t>
        </is>
      </c>
      <c r="AB4" s="3" t="inlineStr">
        <is>
          <t>draft from dish name, check recipe</t>
        </is>
      </c>
    </row>
    <row r="5">
      <c r="A5" s="3" t="inlineStr">
        <is>
          <t>D004</t>
        </is>
      </c>
      <c r="B5" s="3" t="inlineStr">
        <is>
          <t>Onion bhaji</t>
        </is>
      </c>
      <c r="C5" s="3" t="inlineStr">
        <is>
          <t>Starter, fried</t>
        </is>
      </c>
      <c r="D5" s="3" t="inlineStr">
        <is>
          <t>Takeaway (UK/IE)</t>
        </is>
      </c>
      <c r="E5" s="3" t="inlineStr">
        <is>
          <t>Avg portion</t>
        </is>
      </c>
      <c r="F5" s="8" t="n">
        <v>145</v>
      </c>
      <c r="G5" s="8" t="n">
        <v>167</v>
      </c>
      <c r="H5" s="8" t="n">
        <v>429</v>
      </c>
      <c r="I5" s="8" t="n">
        <v>904</v>
      </c>
      <c r="J5" s="8" t="n">
        <v>2</v>
      </c>
      <c r="K5" s="8" t="n">
        <v>24.3</v>
      </c>
      <c r="L5" s="8" t="n">
        <v>55</v>
      </c>
      <c r="M5" s="8" t="n">
        <v>11.2</v>
      </c>
      <c r="N5" s="9">
        <f>IFERROR(K5*9/H5,"")</f>
        <v/>
      </c>
      <c r="O5" s="10">
        <f>IFERROR(I5/G5,"")</f>
        <v/>
      </c>
      <c r="P5" s="11">
        <f>IFERROR(H5/F5*100,"")</f>
        <v/>
      </c>
      <c r="Q5" s="3" t="inlineStr">
        <is>
          <t>A</t>
        </is>
      </c>
      <c r="R5" s="3" t="inlineStr">
        <is>
          <t>S1</t>
        </is>
      </c>
      <c r="S5" s="3" t="inlineStr">
        <is>
          <t>Lab-analysed UK/Ireland takeaway average (Safefood 2015, n=30 per main/starter, n=20 per side). Not Indian-subcontinent portions or recipes. Deep fried in batter. Fivefold range in portion weight.</t>
        </is>
      </c>
      <c r="T5" s="3" t="inlineStr">
        <is>
          <t>cooked_dish</t>
        </is>
      </c>
      <c r="U5" s="3" t="n"/>
      <c r="V5" s="3" t="inlineStr">
        <is>
          <t>no</t>
        </is>
      </c>
      <c r="W5" s="3" t="inlineStr">
        <is>
          <t>check</t>
        </is>
      </c>
      <c r="X5" s="3" t="inlineStr">
        <is>
          <t>no</t>
        </is>
      </c>
      <c r="Y5" s="3" t="inlineStr">
        <is>
          <t>no</t>
        </is>
      </c>
      <c r="Z5" s="3" t="inlineStr">
        <is>
          <t>veg</t>
        </is>
      </c>
      <c r="AA5" s="3" t="inlineStr">
        <is>
          <t>no</t>
        </is>
      </c>
      <c r="AB5" s="3" t="inlineStr">
        <is>
          <t>draft from dish name, check recipe</t>
        </is>
      </c>
    </row>
    <row r="6">
      <c r="A6" s="3" t="inlineStr">
        <is>
          <t>D005</t>
        </is>
      </c>
      <c r="B6" s="3" t="inlineStr">
        <is>
          <t>Chicken pakora</t>
        </is>
      </c>
      <c r="C6" s="3" t="inlineStr">
        <is>
          <t>Starter, fried</t>
        </is>
      </c>
      <c r="D6" s="3" t="inlineStr">
        <is>
          <t>Takeaway (UK/IE)</t>
        </is>
      </c>
      <c r="E6" s="3" t="inlineStr">
        <is>
          <t>Avg portion</t>
        </is>
      </c>
      <c r="F6" s="8" t="n">
        <v>170</v>
      </c>
      <c r="G6" s="8" t="n">
        <v>142</v>
      </c>
      <c r="H6" s="8" t="n">
        <v>387</v>
      </c>
      <c r="I6" s="8" t="n">
        <v>1159</v>
      </c>
      <c r="J6" s="8" t="n">
        <v>2</v>
      </c>
      <c r="K6" s="8" t="n">
        <v>18</v>
      </c>
      <c r="L6" s="8" t="n">
        <v>61</v>
      </c>
      <c r="M6" s="8" t="n">
        <v>39.3</v>
      </c>
      <c r="N6" s="9">
        <f>IFERROR(K6*9/H6,"")</f>
        <v/>
      </c>
      <c r="O6" s="10">
        <f>IFERROR(I6/G6,"")</f>
        <v/>
      </c>
      <c r="P6" s="11">
        <f>IFERROR(H6/F6*100,"")</f>
        <v/>
      </c>
      <c r="Q6" s="3" t="inlineStr">
        <is>
          <t>A</t>
        </is>
      </c>
      <c r="R6" s="3" t="inlineStr">
        <is>
          <t>S1</t>
        </is>
      </c>
      <c r="S6" s="3" t="inlineStr">
        <is>
          <t>Lab-analysed UK/Ireland takeaway average (Safefood 2015, n=30 per main/starter, n=20 per side). Not Indian-subcontinent portions or recipes. Eightfold range in portion weight.</t>
        </is>
      </c>
      <c r="T6" s="3" t="inlineStr">
        <is>
          <t>cooked_dish</t>
        </is>
      </c>
      <c r="U6" s="3" t="n"/>
      <c r="V6" s="3" t="inlineStr">
        <is>
          <t>check</t>
        </is>
      </c>
      <c r="W6" s="3" t="inlineStr">
        <is>
          <t>check</t>
        </is>
      </c>
      <c r="X6" s="3" t="inlineStr">
        <is>
          <t>no</t>
        </is>
      </c>
      <c r="Y6" s="3" t="inlineStr">
        <is>
          <t>check</t>
        </is>
      </c>
      <c r="Z6" s="3" t="inlineStr">
        <is>
          <t>non-veg</t>
        </is>
      </c>
      <c r="AA6" s="3" t="inlineStr">
        <is>
          <t>no</t>
        </is>
      </c>
      <c r="AB6" s="3" t="inlineStr">
        <is>
          <t>draft from dish name, check recipe</t>
        </is>
      </c>
    </row>
    <row r="7">
      <c r="A7" s="3" t="inlineStr">
        <is>
          <t>D006</t>
        </is>
      </c>
      <c r="B7" s="3" t="inlineStr">
        <is>
          <t>Chicken tikka (starter)</t>
        </is>
      </c>
      <c r="C7" s="3" t="inlineStr">
        <is>
          <t>Starter, tandoor</t>
        </is>
      </c>
      <c r="D7" s="3" t="inlineStr">
        <is>
          <t>Takeaway (UK/IE)</t>
        </is>
      </c>
      <c r="E7" s="3" t="inlineStr">
        <is>
          <t>Avg portion</t>
        </is>
      </c>
      <c r="F7" s="8" t="n">
        <v>169</v>
      </c>
      <c r="G7" s="8" t="n">
        <v>102</v>
      </c>
      <c r="H7" s="8" t="n">
        <v>249</v>
      </c>
      <c r="I7" s="8" t="n">
        <v>680</v>
      </c>
      <c r="J7" s="8" t="n">
        <v>2</v>
      </c>
      <c r="K7" s="8" t="n">
        <v>8</v>
      </c>
      <c r="L7" s="8" t="n">
        <v>24</v>
      </c>
      <c r="M7" s="8" t="n">
        <v>41.2</v>
      </c>
      <c r="N7" s="9">
        <f>IFERROR(K7*9/H7,"")</f>
        <v/>
      </c>
      <c r="O7" s="10">
        <f>IFERROR(I7/G7,"")</f>
        <v/>
      </c>
      <c r="P7" s="11">
        <f>IFERROR(H7/F7*100,"")</f>
        <v/>
      </c>
      <c r="Q7" s="3" t="inlineStr">
        <is>
          <t>A</t>
        </is>
      </c>
      <c r="R7" s="3" t="inlineStr">
        <is>
          <t>S1</t>
        </is>
      </c>
      <c r="S7" s="3" t="inlineStr">
        <is>
          <t>Lab-analysed UK/Ireland takeaway average (Safefood 2015, n=30 per main/starter, n=20 per side). Not Indian-subcontinent portions or recipes. Not deep fried, so far lower fat.</t>
        </is>
      </c>
      <c r="T7" s="3" t="inlineStr">
        <is>
          <t>cooked_dish</t>
        </is>
      </c>
      <c r="U7" s="3" t="n"/>
      <c r="V7" s="3" t="inlineStr">
        <is>
          <t>yes</t>
        </is>
      </c>
      <c r="W7" s="3" t="inlineStr">
        <is>
          <t>no</t>
        </is>
      </c>
      <c r="X7" s="3" t="inlineStr">
        <is>
          <t>no</t>
        </is>
      </c>
      <c r="Y7" s="3" t="inlineStr">
        <is>
          <t>no</t>
        </is>
      </c>
      <c r="Z7" s="3" t="inlineStr">
        <is>
          <t>non-veg</t>
        </is>
      </c>
      <c r="AA7" s="3" t="inlineStr">
        <is>
          <t>no</t>
        </is>
      </c>
      <c r="AB7" s="3" t="inlineStr">
        <is>
          <t>draft from dish name, check recipe</t>
        </is>
      </c>
    </row>
    <row r="8">
      <c r="A8" s="3" t="inlineStr">
        <is>
          <t>D007</t>
        </is>
      </c>
      <c r="B8" s="3" t="inlineStr">
        <is>
          <t>Boiled rice</t>
        </is>
      </c>
      <c r="C8" s="3" t="inlineStr">
        <is>
          <t>Rice</t>
        </is>
      </c>
      <c r="D8" s="3" t="inlineStr">
        <is>
          <t>Takeaway (UK/IE)</t>
        </is>
      </c>
      <c r="E8" s="3" t="inlineStr">
        <is>
          <t>Avg portion</t>
        </is>
      </c>
      <c r="F8" s="8" t="n">
        <v>284</v>
      </c>
      <c r="G8" s="8" t="n">
        <v>285</v>
      </c>
      <c r="H8" s="8" t="n">
        <v>387</v>
      </c>
      <c r="I8" s="8" t="n">
        <v>541</v>
      </c>
      <c r="J8" s="8" t="n">
        <v>0</v>
      </c>
      <c r="K8" s="8" t="n">
        <v>1.2</v>
      </c>
      <c r="L8" s="8" t="n">
        <v>3.6</v>
      </c>
      <c r="M8" s="8" t="n">
        <v>9.699999999999999</v>
      </c>
      <c r="N8" s="9">
        <f>IFERROR(K8*9/H8,"")</f>
        <v/>
      </c>
      <c r="O8" s="10">
        <f>IFERROR(I8/G8,"")</f>
        <v/>
      </c>
      <c r="P8" s="11">
        <f>IFERROR(H8/F8*100,"")</f>
        <v/>
      </c>
      <c r="Q8" s="3" t="inlineStr">
        <is>
          <t>A</t>
        </is>
      </c>
      <c r="R8" s="3" t="inlineStr">
        <is>
          <t>S1</t>
        </is>
      </c>
      <c r="S8" s="3" t="inlineStr">
        <is>
          <t>Lab-analysed UK/Ireland takeaway average (Safefood 2015, n=30 per main/starter, n=20 per side). Not Indian-subcontinent portions or recipes. Portion is about two servings.</t>
        </is>
      </c>
      <c r="T8" s="3" t="inlineStr">
        <is>
          <t>cooked_dish</t>
        </is>
      </c>
      <c r="U8" s="3" t="n"/>
      <c r="V8" s="3" t="inlineStr">
        <is>
          <t>no</t>
        </is>
      </c>
      <c r="W8" s="3" t="inlineStr">
        <is>
          <t>no</t>
        </is>
      </c>
      <c r="X8" s="3" t="inlineStr">
        <is>
          <t>no</t>
        </is>
      </c>
      <c r="Y8" s="3" t="inlineStr">
        <is>
          <t>no</t>
        </is>
      </c>
      <c r="Z8" s="3" t="inlineStr">
        <is>
          <t>veg</t>
        </is>
      </c>
      <c r="AA8" s="3" t="inlineStr">
        <is>
          <t>yes</t>
        </is>
      </c>
      <c r="AB8" s="3" t="inlineStr">
        <is>
          <t>draft from dish name, check recipe</t>
        </is>
      </c>
    </row>
    <row r="9">
      <c r="A9" s="3" t="inlineStr">
        <is>
          <t>D008</t>
        </is>
      </c>
      <c r="B9" s="3" t="inlineStr">
        <is>
          <t>Pilau rice</t>
        </is>
      </c>
      <c r="C9" s="3" t="inlineStr">
        <is>
          <t>Rice</t>
        </is>
      </c>
      <c r="D9" s="3" t="inlineStr">
        <is>
          <t>Takeaway (UK/IE)</t>
        </is>
      </c>
      <c r="E9" s="3" t="inlineStr">
        <is>
          <t>Avg portion</t>
        </is>
      </c>
      <c r="F9" s="8" t="n">
        <v>289</v>
      </c>
      <c r="G9" s="8" t="n">
        <v>299</v>
      </c>
      <c r="H9" s="8" t="n">
        <v>496</v>
      </c>
      <c r="I9" s="8" t="n">
        <v>745</v>
      </c>
      <c r="J9" s="8" t="n">
        <v>0.9</v>
      </c>
      <c r="K9" s="8" t="n">
        <v>9.300000000000001</v>
      </c>
      <c r="L9" s="8" t="n">
        <v>19.8</v>
      </c>
      <c r="M9" s="8" t="n">
        <v>10.4</v>
      </c>
      <c r="N9" s="9">
        <f>IFERROR(K9*9/H9,"")</f>
        <v/>
      </c>
      <c r="O9" s="10">
        <f>IFERROR(I9/G9,"")</f>
        <v/>
      </c>
      <c r="P9" s="11">
        <f>IFERROR(H9/F9*100,"")</f>
        <v/>
      </c>
      <c r="Q9" s="3" t="inlineStr">
        <is>
          <t>A</t>
        </is>
      </c>
      <c r="R9" s="3" t="inlineStr">
        <is>
          <t>S1</t>
        </is>
      </c>
      <c r="S9" s="3" t="inlineStr">
        <is>
          <t>Lab-analysed UK/Ireland takeaway average (Safefood 2015, n=30 per main/starter, n=20 per side). Not Indian-subcontinent portions or recipes. About 8 g more fat than boiled rice.</t>
        </is>
      </c>
      <c r="T9" s="3" t="inlineStr">
        <is>
          <t>cooked_dish</t>
        </is>
      </c>
      <c r="U9" s="3" t="n"/>
      <c r="V9" s="3" t="inlineStr">
        <is>
          <t>check</t>
        </is>
      </c>
      <c r="W9" s="3" t="inlineStr">
        <is>
          <t>no</t>
        </is>
      </c>
      <c r="X9" s="3" t="inlineStr">
        <is>
          <t>check</t>
        </is>
      </c>
      <c r="Y9" s="3" t="inlineStr">
        <is>
          <t>no</t>
        </is>
      </c>
      <c r="Z9" s="3" t="inlineStr">
        <is>
          <t>veg</t>
        </is>
      </c>
      <c r="AA9" s="3" t="inlineStr">
        <is>
          <t>no</t>
        </is>
      </c>
      <c r="AB9" s="3" t="inlineStr">
        <is>
          <t>draft from dish name, check recipe</t>
        </is>
      </c>
    </row>
    <row r="10">
      <c r="A10" s="3" t="inlineStr">
        <is>
          <t>D009</t>
        </is>
      </c>
      <c r="B10" s="3" t="inlineStr">
        <is>
          <t>Plain naan</t>
        </is>
      </c>
      <c r="C10" s="3" t="inlineStr">
        <is>
          <t>Bread</t>
        </is>
      </c>
      <c r="D10" s="3" t="inlineStr">
        <is>
          <t>Takeaway (UK/IE)</t>
        </is>
      </c>
      <c r="E10" s="3" t="inlineStr">
        <is>
          <t>1 naan</t>
        </is>
      </c>
      <c r="F10" s="8" t="n">
        <v>173</v>
      </c>
      <c r="G10" s="8" t="n">
        <v>348</v>
      </c>
      <c r="H10" s="8" t="n">
        <v>504</v>
      </c>
      <c r="I10" s="8" t="n">
        <v>666</v>
      </c>
      <c r="J10" s="8" t="n">
        <v>2.8</v>
      </c>
      <c r="K10" s="8" t="n">
        <v>9.5</v>
      </c>
      <c r="L10" s="8" t="n">
        <v>25.6</v>
      </c>
      <c r="M10" s="8" t="n">
        <v>14.1</v>
      </c>
      <c r="N10" s="9">
        <f>IFERROR(K10*9/H10,"")</f>
        <v/>
      </c>
      <c r="O10" s="10">
        <f>IFERROR(I10/G10,"")</f>
        <v/>
      </c>
      <c r="P10" s="11">
        <f>IFERROR(H10/F10*100,"")</f>
        <v/>
      </c>
      <c r="Q10" s="3" t="inlineStr">
        <is>
          <t>A</t>
        </is>
      </c>
      <c r="R10" s="3" t="inlineStr">
        <is>
          <t>S1</t>
        </is>
      </c>
      <c r="S10" s="3" t="inlineStr">
        <is>
          <t>Lab-analysed UK/Ireland takeaway average (Safefood 2015, n=30 per main/starter, n=20 per side). Not Indian-subcontinent portions or recipes.</t>
        </is>
      </c>
      <c r="T10" s="3" t="inlineStr">
        <is>
          <t>cooked_dish</t>
        </is>
      </c>
      <c r="U10" s="3" t="n"/>
      <c r="V10" s="3" t="inlineStr">
        <is>
          <t>yes</t>
        </is>
      </c>
      <c r="W10" s="3" t="inlineStr">
        <is>
          <t>yes</t>
        </is>
      </c>
      <c r="X10" s="3" t="inlineStr">
        <is>
          <t>no</t>
        </is>
      </c>
      <c r="Y10" s="3" t="inlineStr">
        <is>
          <t>check</t>
        </is>
      </c>
      <c r="Z10" s="3" t="inlineStr">
        <is>
          <t>veg</t>
        </is>
      </c>
      <c r="AA10" s="3" t="inlineStr">
        <is>
          <t>no</t>
        </is>
      </c>
      <c r="AB10" s="3" t="inlineStr">
        <is>
          <t>draft from dish name, check recipe</t>
        </is>
      </c>
    </row>
    <row r="11">
      <c r="A11" s="3" t="inlineStr">
        <is>
          <t>D010</t>
        </is>
      </c>
      <c r="B11" s="3" t="inlineStr">
        <is>
          <t>Peshwari naan</t>
        </is>
      </c>
      <c r="C11" s="3" t="inlineStr">
        <is>
          <t>Bread</t>
        </is>
      </c>
      <c r="D11" s="3" t="inlineStr">
        <is>
          <t>Takeaway (UK/IE)</t>
        </is>
      </c>
      <c r="E11" s="3" t="inlineStr">
        <is>
          <t>1 naan</t>
        </is>
      </c>
      <c r="F11" s="8" t="n">
        <v>226</v>
      </c>
      <c r="G11" s="8" t="n">
        <v>436</v>
      </c>
      <c r="H11" s="8" t="n">
        <v>748</v>
      </c>
      <c r="I11" s="8" t="n">
        <v>1228</v>
      </c>
      <c r="J11" s="8" t="n">
        <v>8.9</v>
      </c>
      <c r="K11" s="8" t="n">
        <v>27.3</v>
      </c>
      <c r="L11" s="8" t="n">
        <v>54.2</v>
      </c>
      <c r="M11" s="8" t="n">
        <v>18</v>
      </c>
      <c r="N11" s="9">
        <f>IFERROR(K11*9/H11,"")</f>
        <v/>
      </c>
      <c r="O11" s="10">
        <f>IFERROR(I11/G11,"")</f>
        <v/>
      </c>
      <c r="P11" s="11">
        <f>IFERROR(H11/F11*100,"")</f>
        <v/>
      </c>
      <c r="Q11" s="3" t="inlineStr">
        <is>
          <t>A</t>
        </is>
      </c>
      <c r="R11" s="3" t="inlineStr">
        <is>
          <t>S1</t>
        </is>
      </c>
      <c r="S11" s="3" t="inlineStr">
        <is>
          <t>Lab-analysed UK/Ireland takeaway average (Safefood 2015, n=30 per main/starter, n=20 per side). Not Indian-subcontinent portions or recipes.</t>
        </is>
      </c>
      <c r="T11" s="3" t="inlineStr">
        <is>
          <t>cooked_dish</t>
        </is>
      </c>
      <c r="U11" s="3" t="n"/>
      <c r="V11" s="3" t="inlineStr">
        <is>
          <t>yes</t>
        </is>
      </c>
      <c r="W11" s="3" t="inlineStr">
        <is>
          <t>yes</t>
        </is>
      </c>
      <c r="X11" s="3" t="inlineStr">
        <is>
          <t>yes</t>
        </is>
      </c>
      <c r="Y11" s="3" t="inlineStr">
        <is>
          <t>check</t>
        </is>
      </c>
      <c r="Z11" s="3" t="inlineStr">
        <is>
          <t>veg</t>
        </is>
      </c>
      <c r="AA11" s="3" t="inlineStr">
        <is>
          <t>no</t>
        </is>
      </c>
      <c r="AB11" s="3" t="inlineStr">
        <is>
          <t>draft from dish name, check recipe</t>
        </is>
      </c>
    </row>
    <row r="12">
      <c r="A12" s="3" t="inlineStr">
        <is>
          <t>D011</t>
        </is>
      </c>
      <c r="B12" s="3" t="inlineStr">
        <is>
          <t>Poppadom</t>
        </is>
      </c>
      <c r="C12" s="3" t="inlineStr">
        <is>
          <t>Side, fried</t>
        </is>
      </c>
      <c r="D12" s="3" t="inlineStr">
        <is>
          <t>Takeaway (UK/IE)</t>
        </is>
      </c>
      <c r="E12" s="3" t="inlineStr">
        <is>
          <t>Avg portion</t>
        </is>
      </c>
      <c r="F12" s="8" t="n">
        <v>21</v>
      </c>
      <c r="G12" s="8" t="n">
        <v>81</v>
      </c>
      <c r="H12" s="8" t="n">
        <v>113</v>
      </c>
      <c r="I12" s="8" t="n">
        <v>157</v>
      </c>
      <c r="J12" s="8" t="n">
        <v>2.8</v>
      </c>
      <c r="K12" s="8" t="n">
        <v>7.3</v>
      </c>
      <c r="L12" s="8" t="n">
        <v>12.1</v>
      </c>
      <c r="M12" s="8" t="n">
        <v>2.7</v>
      </c>
      <c r="N12" s="9">
        <f>IFERROR(K12*9/H12,"")</f>
        <v/>
      </c>
      <c r="O12" s="10">
        <f>IFERROR(I12/G12,"")</f>
        <v/>
      </c>
      <c r="P12" s="11">
        <f>IFERROR(H12/F12*100,"")</f>
        <v/>
      </c>
      <c r="Q12" s="3" t="inlineStr">
        <is>
          <t>A</t>
        </is>
      </c>
      <c r="R12" s="3" t="inlineStr">
        <is>
          <t>S1</t>
        </is>
      </c>
      <c r="S12" s="3" t="inlineStr">
        <is>
          <t>Lab-analysed UK/Ireland takeaway average (Safefood 2015, n=30 per main/starter, n=20 per side). Not Indian-subcontinent portions or recipes. Often served free, so easy to forget to log.</t>
        </is>
      </c>
      <c r="T12" s="3" t="inlineStr">
        <is>
          <t>cooked_dish</t>
        </is>
      </c>
      <c r="U12" s="3" t="n"/>
      <c r="V12" s="3" t="inlineStr">
        <is>
          <t>no</t>
        </is>
      </c>
      <c r="W12" s="3" t="inlineStr">
        <is>
          <t>check</t>
        </is>
      </c>
      <c r="X12" s="3" t="inlineStr">
        <is>
          <t>no</t>
        </is>
      </c>
      <c r="Y12" s="3" t="inlineStr">
        <is>
          <t>no</t>
        </is>
      </c>
      <c r="Z12" s="3" t="inlineStr">
        <is>
          <t>veg</t>
        </is>
      </c>
      <c r="AA12" s="3" t="inlineStr">
        <is>
          <t>no</t>
        </is>
      </c>
      <c r="AB12" s="3" t="inlineStr">
        <is>
          <t>draft from dish name, check recipe</t>
        </is>
      </c>
    </row>
    <row r="13">
      <c r="A13" s="3" t="inlineStr">
        <is>
          <t>D012</t>
        </is>
      </c>
      <c r="B13" s="3" t="inlineStr">
        <is>
          <t>Chicken chow mein (USDA restaurant entry)</t>
        </is>
      </c>
      <c r="C13" s="3" t="inlineStr">
        <is>
          <t>Noodles, Indo-Chinese reference</t>
        </is>
      </c>
      <c r="D13" s="3" t="inlineStr">
        <is>
          <t>Restaurant (US)</t>
        </is>
      </c>
      <c r="E13" s="3" t="inlineStr">
        <is>
          <t>Per 100 g, no portion given</t>
        </is>
      </c>
      <c r="F13" s="8" t="n">
        <v>100</v>
      </c>
      <c r="G13" s="8" t="n">
        <v>85</v>
      </c>
      <c r="H13" s="8" t="n">
        <v>85</v>
      </c>
      <c r="I13" s="8" t="n">
        <v>85</v>
      </c>
      <c r="J13" s="8" t="n">
        <v>2.8</v>
      </c>
      <c r="K13" s="8" t="n">
        <v>2.8</v>
      </c>
      <c r="L13" s="8" t="n">
        <v>2.8</v>
      </c>
      <c r="M13" s="8" t="n">
        <v>6.8</v>
      </c>
      <c r="N13" s="9">
        <f>IFERROR(K13*9/H13,"")</f>
        <v/>
      </c>
      <c r="O13" s="10">
        <f>IFERROR(I13/G13,"")</f>
        <v/>
      </c>
      <c r="P13" s="11">
        <f>IFERROR(H13/F13*100,"")</f>
        <v/>
      </c>
      <c r="Q13" s="3" t="inlineStr">
        <is>
          <t>B</t>
        </is>
      </c>
      <c r="R13" s="3" t="inlineStr">
        <is>
          <t>S2</t>
        </is>
      </c>
      <c r="S13" s="3" t="inlineStr">
        <is>
          <t>Single published per-100 g value for American-style Chinese restaurant food. NOT Indian-Chinese street or restaurant chowmein. Compare with D013: fat differs about 2.7x per 100 g.</t>
        </is>
      </c>
      <c r="T13" s="3" t="inlineStr">
        <is>
          <t>cooked_dish</t>
        </is>
      </c>
      <c r="U13" s="3" t="n"/>
      <c r="V13" s="3" t="inlineStr">
        <is>
          <t>no</t>
        </is>
      </c>
      <c r="W13" s="3" t="inlineStr">
        <is>
          <t>yes</t>
        </is>
      </c>
      <c r="X13" s="3" t="inlineStr">
        <is>
          <t>no</t>
        </is>
      </c>
      <c r="Y13" s="3" t="inlineStr">
        <is>
          <t>check</t>
        </is>
      </c>
      <c r="Z13" s="3" t="inlineStr">
        <is>
          <t>non-veg</t>
        </is>
      </c>
      <c r="AA13" s="3" t="inlineStr">
        <is>
          <t>no</t>
        </is>
      </c>
      <c r="AB13" s="3" t="inlineStr">
        <is>
          <t>draft from dish name, check recipe</t>
        </is>
      </c>
    </row>
    <row r="14">
      <c r="A14" s="3" t="inlineStr">
        <is>
          <t>D013</t>
        </is>
      </c>
      <c r="B14" s="3" t="inlineStr">
        <is>
          <t>Chow mein, side (Panda Express)</t>
        </is>
      </c>
      <c r="C14" s="3" t="inlineStr">
        <is>
          <t>Noodles, Indo-Chinese reference</t>
        </is>
      </c>
      <c r="D14" s="3" t="inlineStr">
        <is>
          <t>Chain (US)</t>
        </is>
      </c>
      <c r="E14" s="3" t="inlineStr">
        <is>
          <t>1 side, 9 2/5 oz</t>
        </is>
      </c>
      <c r="F14" s="8" t="n">
        <v>267</v>
      </c>
      <c r="G14" s="8" t="n">
        <v>510</v>
      </c>
      <c r="H14" s="8" t="n">
        <v>510</v>
      </c>
      <c r="I14" s="8" t="n">
        <v>510</v>
      </c>
      <c r="J14" s="8" t="n">
        <v>20</v>
      </c>
      <c r="K14" s="8" t="n">
        <v>20</v>
      </c>
      <c r="L14" s="8" t="n">
        <v>20</v>
      </c>
      <c r="M14" s="8" t="n">
        <v>13</v>
      </c>
      <c r="N14" s="9">
        <f>IFERROR(K14*9/H14,"")</f>
        <v/>
      </c>
      <c r="O14" s="10">
        <f>IFERROR(I14/G14,"")</f>
        <v/>
      </c>
      <c r="P14" s="11">
        <f>IFERROR(H14/F14*100,"")</f>
        <v/>
      </c>
      <c r="Q14" s="3" t="inlineStr">
        <is>
          <t>B</t>
        </is>
      </c>
      <c r="R14" s="3" t="inlineStr">
        <is>
          <t>S3</t>
        </is>
      </c>
      <c r="S14" s="3" t="inlineStr">
        <is>
          <t>Single chain-published value. About 191 kcal and 7.5 g fat per 100 g. American chain, NOT Indian-Chinese chowmein.</t>
        </is>
      </c>
      <c r="T14" s="3" t="inlineStr">
        <is>
          <t>cooked_dish</t>
        </is>
      </c>
      <c r="U14" s="3" t="n"/>
      <c r="V14" s="3" t="inlineStr">
        <is>
          <t>no</t>
        </is>
      </c>
      <c r="W14" s="3" t="inlineStr">
        <is>
          <t>yes</t>
        </is>
      </c>
      <c r="X14" s="3" t="inlineStr">
        <is>
          <t>no</t>
        </is>
      </c>
      <c r="Y14" s="3" t="inlineStr">
        <is>
          <t>check</t>
        </is>
      </c>
      <c r="Z14" s="3" t="inlineStr">
        <is>
          <t>veg</t>
        </is>
      </c>
      <c r="AA14" s="3" t="inlineStr">
        <is>
          <t>no</t>
        </is>
      </c>
      <c r="AB14" s="3" t="inlineStr">
        <is>
          <t>draft from dish name, check recipe</t>
        </is>
      </c>
    </row>
    <row r="15">
      <c r="A15" s="3" t="inlineStr">
        <is>
          <t>D014</t>
        </is>
      </c>
      <c r="B15" s="3" t="inlineStr">
        <is>
          <t>Rajma chawal (generic entry)</t>
        </is>
      </c>
      <c r="C15" s="3" t="inlineStr">
        <is>
          <t>Home-style, veg</t>
        </is>
      </c>
      <c r="D15" s="3" t="inlineStr">
        <is>
          <t>Home / unspecified</t>
        </is>
      </c>
      <c r="E15" s="3" t="inlineStr">
        <is>
          <t>1 cup, 220 g</t>
        </is>
      </c>
      <c r="F15" s="8" t="n">
        <v>220</v>
      </c>
      <c r="G15" s="8" t="n">
        <v>316</v>
      </c>
      <c r="H15" s="8" t="n">
        <v>316</v>
      </c>
      <c r="I15" s="8" t="n">
        <v>316</v>
      </c>
      <c r="J15" s="8" t="n">
        <v>7.93</v>
      </c>
      <c r="K15" s="8" t="n">
        <v>7.93</v>
      </c>
      <c r="L15" s="8" t="n">
        <v>7.93</v>
      </c>
      <c r="M15" s="8" t="n">
        <v>10.53</v>
      </c>
      <c r="N15" s="9">
        <f>IFERROR(K15*9/H15,"")</f>
        <v/>
      </c>
      <c r="O15" s="10">
        <f>IFERROR(I15/G15,"")</f>
        <v/>
      </c>
      <c r="P15" s="11">
        <f>IFERROR(H15/F15*100,"")</f>
        <v/>
      </c>
      <c r="Q15" s="3" t="inlineStr">
        <is>
          <t>C</t>
        </is>
      </c>
      <c r="R15" s="3" t="inlineStr">
        <is>
          <t>S4</t>
        </is>
      </c>
      <c r="S15" s="3" t="inlineStr">
        <is>
          <t>User-contributed FatSecret generic entry, no recipe or oil quantity stated. Placeholder only. The oil in the tadka is not recorded.</t>
        </is>
      </c>
      <c r="T15" s="3" t="inlineStr">
        <is>
          <t>cooked_dish</t>
        </is>
      </c>
      <c r="U15" s="3" t="n"/>
      <c r="V15" s="3" t="inlineStr">
        <is>
          <t>no</t>
        </is>
      </c>
      <c r="W15" s="3" t="inlineStr">
        <is>
          <t>no</t>
        </is>
      </c>
      <c r="X15" s="3" t="inlineStr">
        <is>
          <t>no</t>
        </is>
      </c>
      <c r="Y15" s="3" t="inlineStr">
        <is>
          <t>no</t>
        </is>
      </c>
      <c r="Z15" s="3" t="inlineStr">
        <is>
          <t>veg</t>
        </is>
      </c>
      <c r="AA15" s="3" t="inlineStr">
        <is>
          <t>yes</t>
        </is>
      </c>
      <c r="AB15" s="3" t="inlineStr">
        <is>
          <t>draft from dish name, check recipe</t>
        </is>
      </c>
    </row>
    <row r="16">
      <c r="A16" s="3" t="inlineStr">
        <is>
          <t>D015</t>
        </is>
      </c>
      <c r="B16" s="3" t="inlineStr">
        <is>
          <t>Rajma, curry only (generic entry)</t>
        </is>
      </c>
      <c r="C16" s="3" t="inlineStr">
        <is>
          <t>Home-style, veg</t>
        </is>
      </c>
      <c r="D16" s="3" t="inlineStr">
        <is>
          <t>Home / unspecified</t>
        </is>
      </c>
      <c r="E16" s="3" t="inlineStr">
        <is>
          <t>100 g</t>
        </is>
      </c>
      <c r="F16" s="8" t="n">
        <v>100</v>
      </c>
      <c r="G16" s="8" t="n">
        <v>165</v>
      </c>
      <c r="H16" s="8" t="n">
        <v>165</v>
      </c>
      <c r="I16" s="8" t="n">
        <v>165</v>
      </c>
      <c r="J16" s="8" t="n">
        <v>7.08</v>
      </c>
      <c r="K16" s="8" t="n">
        <v>7.08</v>
      </c>
      <c r="L16" s="8" t="n">
        <v>7.08</v>
      </c>
      <c r="M16" s="8" t="n">
        <v>7.04</v>
      </c>
      <c r="N16" s="9">
        <f>IFERROR(K16*9/H16,"")</f>
        <v/>
      </c>
      <c r="O16" s="10">
        <f>IFERROR(I16/G16,"")</f>
        <v/>
      </c>
      <c r="P16" s="11">
        <f>IFERROR(H16/F16*100,"")</f>
        <v/>
      </c>
      <c r="Q16" s="3" t="inlineStr">
        <is>
          <t>C</t>
        </is>
      </c>
      <c r="R16" s="3" t="inlineStr">
        <is>
          <t>S4</t>
        </is>
      </c>
      <c r="S16" s="3" t="inlineStr">
        <is>
          <t>User-contributed FatSecret generic entry. Fat is higher than D014 only because there is no rice diluting it. IFCT 2017 cooked rajma protein is about 8.7 g per 100 g (via secondary source), not yet checked in the primary tables.</t>
        </is>
      </c>
      <c r="T16" s="3" t="inlineStr">
        <is>
          <t>cooked_dish</t>
        </is>
      </c>
      <c r="U16" s="3" t="n"/>
      <c r="V16" s="3" t="inlineStr">
        <is>
          <t>no</t>
        </is>
      </c>
      <c r="W16" s="3" t="inlineStr">
        <is>
          <t>no</t>
        </is>
      </c>
      <c r="X16" s="3" t="inlineStr">
        <is>
          <t>no</t>
        </is>
      </c>
      <c r="Y16" s="3" t="inlineStr">
        <is>
          <t>no</t>
        </is>
      </c>
      <c r="Z16" s="3" t="inlineStr">
        <is>
          <t>veg</t>
        </is>
      </c>
      <c r="AA16" s="3" t="inlineStr">
        <is>
          <t>check</t>
        </is>
      </c>
      <c r="AB16" s="3" t="inlineStr">
        <is>
          <t>draft from dish name, check recipe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20" customWidth="1" min="3" max="3"/>
    <col width="22" customWidth="1" min="4" max="4"/>
    <col width="60" customWidth="1" min="5" max="5"/>
    <col width="13" customWidth="1" min="6" max="6"/>
    <col width="60" customWidth="1" min="7" max="7"/>
  </cols>
  <sheetData>
    <row r="1">
      <c r="A1" s="7" t="inlineStr">
        <is>
          <t>priority</t>
        </is>
      </c>
      <c r="B1" s="7" t="inlineStr">
        <is>
          <t>dish</t>
        </is>
      </c>
      <c r="C1" s="7" t="inlineStr">
        <is>
          <t>category</t>
        </is>
      </c>
      <c r="D1" s="7" t="inlineStr">
        <is>
          <t>setting</t>
        </is>
      </c>
      <c r="E1" s="7" t="inlineStr">
        <is>
          <t>preferred_source</t>
        </is>
      </c>
      <c r="F1" s="7" t="inlineStr">
        <is>
          <t>status</t>
        </is>
      </c>
      <c r="G1" s="7" t="inlineStr">
        <is>
          <t>notes</t>
        </is>
      </c>
    </row>
    <row r="2">
      <c r="A2" s="3" t="n">
        <v>1</v>
      </c>
      <c r="B2" s="3" t="inlineStr">
        <is>
          <t>Roti / chapati</t>
        </is>
      </c>
      <c r="C2" s="3" t="inlineStr">
        <is>
          <t>Bread</t>
        </is>
      </c>
      <c r="D2" s="3" t="inlineStr">
        <is>
          <t>Home</t>
        </is>
      </c>
      <c r="E2" s="3" t="inlineStr">
        <is>
          <t>IFCT 2017 (NIN) for the base dish, plus oil quantity from a documented recipe</t>
        </is>
      </c>
      <c r="F2" s="3" t="inlineStr">
        <is>
          <t>not started</t>
        </is>
      </c>
      <c r="G2" s="3" t="inlineStr">
        <is>
          <t>Check per-piece weight and whether ghee is applied</t>
        </is>
      </c>
    </row>
    <row r="3">
      <c r="A3" s="3" t="n">
        <v>1</v>
      </c>
      <c r="B3" s="3" t="inlineStr">
        <is>
          <t>Tandoori roti</t>
        </is>
      </c>
      <c r="C3" s="3" t="inlineStr">
        <is>
          <t>Bread</t>
        </is>
      </c>
      <c r="D3" s="3" t="inlineStr">
        <is>
          <t>Restaurant / dhaba</t>
        </is>
      </c>
      <c r="E3" s="3" t="inlineStr">
        <is>
          <t>Lab-measured study if one exists, otherwise range from 2+ documented sources</t>
        </is>
      </c>
      <c r="F3" s="3" t="inlineStr">
        <is>
          <t>not started</t>
        </is>
      </c>
      <c r="G3" s="3" t="inlineStr">
        <is>
          <t>A UK lab test found one roomali roti at 727 kcal vs 236 stated. Expect large variation</t>
        </is>
      </c>
    </row>
    <row r="4">
      <c r="A4" s="3" t="n">
        <v>1</v>
      </c>
      <c r="B4" s="3" t="inlineStr">
        <is>
          <t>Plain paratha</t>
        </is>
      </c>
      <c r="C4" s="3" t="inlineStr">
        <is>
          <t>Bread</t>
        </is>
      </c>
      <c r="D4" s="3" t="inlineStr">
        <is>
          <t>Home</t>
        </is>
      </c>
      <c r="E4" s="3" t="inlineStr">
        <is>
          <t>IFCT 2017 (NIN) for the base dish, plus oil quantity from a documented recipe</t>
        </is>
      </c>
      <c r="F4" s="3" t="inlineStr">
        <is>
          <t>not started</t>
        </is>
      </c>
      <c r="G4" s="3" t="inlineStr">
        <is>
          <t>Oil on the tawa is the main swing</t>
        </is>
      </c>
    </row>
    <row r="5">
      <c r="A5" s="3" t="n">
        <v>1</v>
      </c>
      <c r="B5" s="3" t="inlineStr">
        <is>
          <t>Aloo paratha</t>
        </is>
      </c>
      <c r="C5" s="3" t="inlineStr">
        <is>
          <t>Bread</t>
        </is>
      </c>
      <c r="D5" s="3" t="inlineStr">
        <is>
          <t>Home / dhaba</t>
        </is>
      </c>
      <c r="E5" s="3" t="inlineStr">
        <is>
          <t>IFCT 2017 (NIN) for the base dish, plus oil quantity from a documented recipe</t>
        </is>
      </c>
      <c r="F5" s="3" t="inlineStr">
        <is>
          <t>not started</t>
        </is>
      </c>
      <c r="G5" s="3" t="inlineStr"/>
    </row>
    <row r="6">
      <c r="A6" s="3" t="n">
        <v>1</v>
      </c>
      <c r="B6" s="3" t="inlineStr">
        <is>
          <t>Dal tadka / dal fry</t>
        </is>
      </c>
      <c r="C6" s="3" t="inlineStr">
        <is>
          <t>Dal</t>
        </is>
      </c>
      <c r="D6" s="3" t="inlineStr">
        <is>
          <t>Home</t>
        </is>
      </c>
      <c r="E6" s="3" t="inlineStr">
        <is>
          <t>IFCT 2017 (NIN) for the base dish, plus oil quantity from a documented recipe</t>
        </is>
      </c>
      <c r="F6" s="3" t="inlineStr">
        <is>
          <t>not started</t>
        </is>
      </c>
      <c r="G6" s="3" t="inlineStr">
        <is>
          <t>Tadka oil is the variable the app needs</t>
        </is>
      </c>
    </row>
    <row r="7">
      <c r="A7" s="3" t="n">
        <v>1</v>
      </c>
      <c r="B7" s="3" t="inlineStr">
        <is>
          <t>Dal tadka / dal fry</t>
        </is>
      </c>
      <c r="C7" s="3" t="inlineStr">
        <is>
          <t>Dal</t>
        </is>
      </c>
      <c r="D7" s="3" t="inlineStr">
        <is>
          <t>Restaurant / dhaba</t>
        </is>
      </c>
      <c r="E7" s="3" t="inlineStr">
        <is>
          <t>Lab-measured study if one exists, otherwise range from 2+ documented sources</t>
        </is>
      </c>
      <c r="F7" s="3" t="inlineStr">
        <is>
          <t>not started</t>
        </is>
      </c>
      <c r="G7" s="3" t="inlineStr"/>
    </row>
    <row r="8">
      <c r="A8" s="3" t="n">
        <v>1</v>
      </c>
      <c r="B8" s="3" t="inlineStr">
        <is>
          <t>Dal makhani</t>
        </is>
      </c>
      <c r="C8" s="3" t="inlineStr">
        <is>
          <t>Dal</t>
        </is>
      </c>
      <c r="D8" s="3" t="inlineStr">
        <is>
          <t>Restaurant</t>
        </is>
      </c>
      <c r="E8" s="3" t="inlineStr">
        <is>
          <t>Lab-measured study if one exists, otherwise range from 2+ documented sources</t>
        </is>
      </c>
      <c r="F8" s="3" t="inlineStr">
        <is>
          <t>not started</t>
        </is>
      </c>
      <c r="G8" s="3" t="inlineStr">
        <is>
          <t>Cream and butter</t>
        </is>
      </c>
    </row>
    <row r="9">
      <c r="A9" s="3" t="n">
        <v>1</v>
      </c>
      <c r="B9" s="3" t="inlineStr">
        <is>
          <t>Rajma curry</t>
        </is>
      </c>
      <c r="C9" s="3" t="inlineStr">
        <is>
          <t>Dal / legume</t>
        </is>
      </c>
      <c r="D9" s="3" t="inlineStr">
        <is>
          <t>Restaurant / dhaba</t>
        </is>
      </c>
      <c r="E9" s="3" t="inlineStr">
        <is>
          <t>Lab-measured study if one exists, otherwise range from 2+ documented sources</t>
        </is>
      </c>
      <c r="F9" s="3" t="inlineStr">
        <is>
          <t>not started</t>
        </is>
      </c>
      <c r="G9" s="3" t="inlineStr">
        <is>
          <t>Replace placeholder D014 and D015</t>
        </is>
      </c>
    </row>
    <row r="10">
      <c r="A10" s="3" t="n">
        <v>1</v>
      </c>
      <c r="B10" s="3" t="inlineStr">
        <is>
          <t>Chole</t>
        </is>
      </c>
      <c r="C10" s="3" t="inlineStr">
        <is>
          <t>Dal / legume</t>
        </is>
      </c>
      <c r="D10" s="3" t="inlineStr">
        <is>
          <t>Home / restaurant</t>
        </is>
      </c>
      <c r="E10" s="3" t="inlineStr">
        <is>
          <t>Lab-measured study if one exists, otherwise range from 2+ documented sources</t>
        </is>
      </c>
      <c r="F10" s="3" t="inlineStr">
        <is>
          <t>not started</t>
        </is>
      </c>
      <c r="G10" s="3" t="inlineStr"/>
    </row>
    <row r="11">
      <c r="A11" s="3" t="n">
        <v>1</v>
      </c>
      <c r="B11" s="3" t="inlineStr">
        <is>
          <t>Paneer butter masala</t>
        </is>
      </c>
      <c r="C11" s="3" t="inlineStr">
        <is>
          <t>Curry, veg</t>
        </is>
      </c>
      <c r="D11" s="3" t="inlineStr">
        <is>
          <t>Restaurant</t>
        </is>
      </c>
      <c r="E11" s="3" t="inlineStr">
        <is>
          <t>Lab-measured study if one exists, otherwise range from 2+ documented sources</t>
        </is>
      </c>
      <c r="F11" s="3" t="inlineStr">
        <is>
          <t>not started</t>
        </is>
      </c>
      <c r="G11" s="3" t="inlineStr">
        <is>
          <t>Likely similar spread to tikka masala (D001)</t>
        </is>
      </c>
    </row>
    <row r="12">
      <c r="A12" s="3" t="n">
        <v>1</v>
      </c>
      <c r="B12" s="3" t="inlineStr">
        <is>
          <t>Paneer bhurji</t>
        </is>
      </c>
      <c r="C12" s="3" t="inlineStr">
        <is>
          <t>Curry, veg</t>
        </is>
      </c>
      <c r="D12" s="3" t="inlineStr">
        <is>
          <t>Home / dhaba</t>
        </is>
      </c>
      <c r="E12" s="3" t="inlineStr">
        <is>
          <t>Lab-measured study if one exists, otherwise range from 2+ documented sources</t>
        </is>
      </c>
      <c r="F12" s="3" t="inlineStr">
        <is>
          <t>not started</t>
        </is>
      </c>
      <c r="G12" s="3" t="inlineStr"/>
    </row>
    <row r="13">
      <c r="A13" s="3" t="n">
        <v>1</v>
      </c>
      <c r="B13" s="3" t="inlineStr">
        <is>
          <t>Chicken curry</t>
        </is>
      </c>
      <c r="C13" s="3" t="inlineStr">
        <is>
          <t>Curry, non-veg</t>
        </is>
      </c>
      <c r="D13" s="3" t="inlineStr">
        <is>
          <t>Home</t>
        </is>
      </c>
      <c r="E13" s="3" t="inlineStr">
        <is>
          <t>IFCT 2017 (NIN) for the base dish, plus oil quantity from a documented recipe</t>
        </is>
      </c>
      <c r="F13" s="3" t="inlineStr">
        <is>
          <t>not started</t>
        </is>
      </c>
      <c r="G13" s="3" t="inlineStr"/>
    </row>
    <row r="14">
      <c r="A14" s="3" t="n">
        <v>1</v>
      </c>
      <c r="B14" s="3" t="inlineStr">
        <is>
          <t>Chicken curry</t>
        </is>
      </c>
      <c r="C14" s="3" t="inlineStr">
        <is>
          <t>Curry, non-veg</t>
        </is>
      </c>
      <c r="D14" s="3" t="inlineStr">
        <is>
          <t>Dhaba</t>
        </is>
      </c>
      <c r="E14" s="3" t="inlineStr">
        <is>
          <t>Lab-measured study if one exists, otherwise range from 2+ documented sources</t>
        </is>
      </c>
      <c r="F14" s="3" t="inlineStr">
        <is>
          <t>not started</t>
        </is>
      </c>
      <c r="G14" s="3" t="inlineStr"/>
    </row>
    <row r="15">
      <c r="A15" s="3" t="n">
        <v>1</v>
      </c>
      <c r="B15" s="3" t="inlineStr">
        <is>
          <t>Butter chicken</t>
        </is>
      </c>
      <c r="C15" s="3" t="inlineStr">
        <is>
          <t>Curry, non-veg</t>
        </is>
      </c>
      <c r="D15" s="3" t="inlineStr">
        <is>
          <t>Restaurant</t>
        </is>
      </c>
      <c r="E15" s="3" t="inlineStr">
        <is>
          <t>Lab-measured study if one exists, otherwise range from 2+ documented sources</t>
        </is>
      </c>
      <c r="F15" s="3" t="inlineStr">
        <is>
          <t>not started</t>
        </is>
      </c>
      <c r="G15" s="3" t="inlineStr"/>
    </row>
    <row r="16">
      <c r="A16" s="3" t="n">
        <v>1</v>
      </c>
      <c r="B16" s="3" t="inlineStr">
        <is>
          <t>Egg bhurji / omelette</t>
        </is>
      </c>
      <c r="C16" s="3" t="inlineStr">
        <is>
          <t>Egg</t>
        </is>
      </c>
      <c r="D16" s="3" t="inlineStr">
        <is>
          <t>Home / street</t>
        </is>
      </c>
      <c r="E16" s="3" t="inlineStr">
        <is>
          <t>IFCT 2017 (NIN) for the base dish, plus oil quantity from a documented recipe</t>
        </is>
      </c>
      <c r="F16" s="3" t="inlineStr">
        <is>
          <t>not started</t>
        </is>
      </c>
      <c r="G16" s="3" t="inlineStr">
        <is>
          <t>Oil per egg</t>
        </is>
      </c>
    </row>
    <row r="17">
      <c r="A17" s="3" t="n">
        <v>1</v>
      </c>
      <c r="B17" s="3" t="inlineStr">
        <is>
          <t>Veg chowmein (Indo-Chinese)</t>
        </is>
      </c>
      <c r="C17" s="3" t="inlineStr">
        <is>
          <t>Noodles</t>
        </is>
      </c>
      <c r="D17" s="3" t="inlineStr">
        <is>
          <t>Street / restaurant</t>
        </is>
      </c>
      <c r="E17" s="3" t="inlineStr">
        <is>
          <t>Lab-measured study if one exists, otherwise range from 2+ documented sources</t>
        </is>
      </c>
      <c r="F17" s="3" t="inlineStr">
        <is>
          <t>not started</t>
        </is>
      </c>
      <c r="G17" s="3" t="inlineStr">
        <is>
          <t>No measured Indian-Chinese source found yet. D012 vs D013 show a 2.7x fat spread per 100 g</t>
        </is>
      </c>
    </row>
    <row r="18">
      <c r="A18" s="3" t="n">
        <v>1</v>
      </c>
      <c r="B18" s="3" t="inlineStr">
        <is>
          <t>Chicken chowmein (Indo-Chinese)</t>
        </is>
      </c>
      <c r="C18" s="3" t="inlineStr">
        <is>
          <t>Noodles</t>
        </is>
      </c>
      <c r="D18" s="3" t="inlineStr">
        <is>
          <t>Street / restaurant</t>
        </is>
      </c>
      <c r="E18" s="3" t="inlineStr">
        <is>
          <t>Lab-measured study if one exists, otherwise range from 2+ documented sources</t>
        </is>
      </c>
      <c r="F18" s="3" t="inlineStr">
        <is>
          <t>not started</t>
        </is>
      </c>
      <c r="G18" s="3" t="inlineStr"/>
    </row>
    <row r="19">
      <c r="A19" s="3" t="n">
        <v>1</v>
      </c>
      <c r="B19" s="3" t="inlineStr">
        <is>
          <t>Veg fried rice</t>
        </is>
      </c>
      <c r="C19" s="3" t="inlineStr">
        <is>
          <t>Rice</t>
        </is>
      </c>
      <c r="D19" s="3" t="inlineStr">
        <is>
          <t>Street / restaurant</t>
        </is>
      </c>
      <c r="E19" s="3" t="inlineStr">
        <is>
          <t>Lab-measured study if one exists, otherwise range from 2+ documented sources</t>
        </is>
      </c>
      <c r="F19" s="3" t="inlineStr">
        <is>
          <t>not started</t>
        </is>
      </c>
      <c r="G19" s="3" t="inlineStr"/>
    </row>
    <row r="20">
      <c r="A20" s="3" t="n">
        <v>1</v>
      </c>
      <c r="B20" s="3" t="inlineStr">
        <is>
          <t>Veg biryani</t>
        </is>
      </c>
      <c r="C20" s="3" t="inlineStr">
        <is>
          <t>Rice</t>
        </is>
      </c>
      <c r="D20" s="3" t="inlineStr">
        <is>
          <t>Restaurant</t>
        </is>
      </c>
      <c r="E20" s="3" t="inlineStr">
        <is>
          <t>Lab-measured study if one exists, otherwise range from 2+ documented sources</t>
        </is>
      </c>
      <c r="F20" s="3" t="inlineStr">
        <is>
          <t>not started</t>
        </is>
      </c>
      <c r="G20" s="3" t="inlineStr"/>
    </row>
    <row r="21">
      <c r="A21" s="3" t="n">
        <v>1</v>
      </c>
      <c r="B21" s="3" t="inlineStr">
        <is>
          <t>Chicken biryani</t>
        </is>
      </c>
      <c r="C21" s="3" t="inlineStr">
        <is>
          <t>Rice</t>
        </is>
      </c>
      <c r="D21" s="3" t="inlineStr">
        <is>
          <t>Restaurant</t>
        </is>
      </c>
      <c r="E21" s="3" t="inlineStr">
        <is>
          <t>Lab-measured study if one exists, otherwise range from 2+ documented sources</t>
        </is>
      </c>
      <c r="F21" s="3" t="inlineStr">
        <is>
          <t>not started</t>
        </is>
      </c>
      <c r="G21" s="3" t="inlineStr"/>
    </row>
    <row r="22">
      <c r="A22" s="3" t="n">
        <v>1</v>
      </c>
      <c r="B22" s="3" t="inlineStr">
        <is>
          <t>Jeera rice / plain rice</t>
        </is>
      </c>
      <c r="C22" s="3" t="inlineStr">
        <is>
          <t>Rice</t>
        </is>
      </c>
      <c r="D22" s="3" t="inlineStr">
        <is>
          <t>Home / restaurant</t>
        </is>
      </c>
      <c r="E22" s="3" t="inlineStr">
        <is>
          <t>IFCT 2017 (NIN) for the base dish, plus oil quantity from a documented recipe</t>
        </is>
      </c>
      <c r="F22" s="3" t="inlineStr">
        <is>
          <t>not started</t>
        </is>
      </c>
      <c r="G22" s="3" t="inlineStr">
        <is>
          <t>Plain boiled rice measured at D007 (UK portion)</t>
        </is>
      </c>
    </row>
    <row r="23">
      <c r="A23" s="3" t="n">
        <v>2</v>
      </c>
      <c r="B23" s="3" t="inlineStr">
        <is>
          <t>Poha</t>
        </is>
      </c>
      <c r="C23" s="3" t="inlineStr">
        <is>
          <t>Breakfast</t>
        </is>
      </c>
      <c r="D23" s="3" t="inlineStr">
        <is>
          <t>Home / street</t>
        </is>
      </c>
      <c r="E23" s="3" t="inlineStr">
        <is>
          <t>IFCT 2017 (NIN) for the base dish, plus oil quantity from a documented recipe</t>
        </is>
      </c>
      <c r="F23" s="3" t="inlineStr">
        <is>
          <t>not started</t>
        </is>
      </c>
      <c r="G23" s="3" t="inlineStr"/>
    </row>
    <row r="24">
      <c r="A24" s="3" t="n">
        <v>2</v>
      </c>
      <c r="B24" s="3" t="inlineStr">
        <is>
          <t>Upma</t>
        </is>
      </c>
      <c r="C24" s="3" t="inlineStr">
        <is>
          <t>Breakfast</t>
        </is>
      </c>
      <c r="D24" s="3" t="inlineStr">
        <is>
          <t>Home</t>
        </is>
      </c>
      <c r="E24" s="3" t="inlineStr">
        <is>
          <t>IFCT 2017 (NIN) for the base dish, plus oil quantity from a documented recipe</t>
        </is>
      </c>
      <c r="F24" s="3" t="inlineStr">
        <is>
          <t>not started</t>
        </is>
      </c>
      <c r="G24" s="3" t="inlineStr"/>
    </row>
    <row r="25">
      <c r="A25" s="3" t="n">
        <v>2</v>
      </c>
      <c r="B25" s="3" t="inlineStr">
        <is>
          <t>Idli</t>
        </is>
      </c>
      <c r="C25" s="3" t="inlineStr">
        <is>
          <t>South Indian</t>
        </is>
      </c>
      <c r="D25" s="3" t="inlineStr">
        <is>
          <t>Home / restaurant</t>
        </is>
      </c>
      <c r="E25" s="3" t="inlineStr">
        <is>
          <t>IFCT 2017 (NIN) for the base dish, plus oil quantity from a documented recipe</t>
        </is>
      </c>
      <c r="F25" s="3" t="inlineStr">
        <is>
          <t>not started</t>
        </is>
      </c>
      <c r="G25" s="3" t="inlineStr"/>
    </row>
    <row r="26">
      <c r="A26" s="3" t="n">
        <v>2</v>
      </c>
      <c r="B26" s="3" t="inlineStr">
        <is>
          <t>Plain dosa</t>
        </is>
      </c>
      <c r="C26" s="3" t="inlineStr">
        <is>
          <t>South Indian</t>
        </is>
      </c>
      <c r="D26" s="3" t="inlineStr">
        <is>
          <t>Restaurant</t>
        </is>
      </c>
      <c r="E26" s="3" t="inlineStr">
        <is>
          <t>Lab-measured study if one exists, otherwise range from 2+ documented sources</t>
        </is>
      </c>
      <c r="F26" s="3" t="inlineStr">
        <is>
          <t>not started</t>
        </is>
      </c>
      <c r="G26" s="3" t="inlineStr"/>
    </row>
    <row r="27">
      <c r="A27" s="3" t="n">
        <v>2</v>
      </c>
      <c r="B27" s="3" t="inlineStr">
        <is>
          <t>Masala dosa</t>
        </is>
      </c>
      <c r="C27" s="3" t="inlineStr">
        <is>
          <t>South Indian</t>
        </is>
      </c>
      <c r="D27" s="3" t="inlineStr">
        <is>
          <t>Restaurant</t>
        </is>
      </c>
      <c r="E27" s="3" t="inlineStr">
        <is>
          <t>Lab-measured study if one exists, otherwise range from 2+ documented sources</t>
        </is>
      </c>
      <c r="F27" s="3" t="inlineStr">
        <is>
          <t>not started</t>
        </is>
      </c>
      <c r="G27" s="3" t="inlineStr"/>
    </row>
    <row r="28">
      <c r="A28" s="3" t="n">
        <v>2</v>
      </c>
      <c r="B28" s="3" t="inlineStr">
        <is>
          <t>Sambar</t>
        </is>
      </c>
      <c r="C28" s="3" t="inlineStr">
        <is>
          <t>South Indian</t>
        </is>
      </c>
      <c r="D28" s="3" t="inlineStr">
        <is>
          <t>Restaurant</t>
        </is>
      </c>
      <c r="E28" s="3" t="inlineStr">
        <is>
          <t>Lab-measured study if one exists, otherwise range from 2+ documented sources</t>
        </is>
      </c>
      <c r="F28" s="3" t="inlineStr">
        <is>
          <t>not started</t>
        </is>
      </c>
      <c r="G28" s="3" t="inlineStr"/>
    </row>
    <row r="29">
      <c r="A29" s="3" t="n">
        <v>2</v>
      </c>
      <c r="B29" s="3" t="inlineStr">
        <is>
          <t>Veg momos, steamed</t>
        </is>
      </c>
      <c r="C29" s="3" t="inlineStr">
        <is>
          <t>Snack</t>
        </is>
      </c>
      <c r="D29" s="3" t="inlineStr">
        <is>
          <t>Street</t>
        </is>
      </c>
      <c r="E29" s="3" t="inlineStr">
        <is>
          <t>Lab-measured study if one exists, otherwise range from 2+ documented sources</t>
        </is>
      </c>
      <c r="F29" s="3" t="inlineStr">
        <is>
          <t>not started</t>
        </is>
      </c>
      <c r="G29" s="3" t="inlineStr"/>
    </row>
    <row r="30">
      <c r="A30" s="3" t="n">
        <v>2</v>
      </c>
      <c r="B30" s="3" t="inlineStr">
        <is>
          <t>Veg momos, fried</t>
        </is>
      </c>
      <c r="C30" s="3" t="inlineStr">
        <is>
          <t>Snack</t>
        </is>
      </c>
      <c r="D30" s="3" t="inlineStr">
        <is>
          <t>Street</t>
        </is>
      </c>
      <c r="E30" s="3" t="inlineStr">
        <is>
          <t>Lab-measured study if one exists, otherwise range from 2+ documented sources</t>
        </is>
      </c>
      <c r="F30" s="3" t="inlineStr">
        <is>
          <t>not started</t>
        </is>
      </c>
      <c r="G30" s="3" t="inlineStr"/>
    </row>
    <row r="31">
      <c r="A31" s="3" t="n">
        <v>2</v>
      </c>
      <c r="B31" s="3" t="inlineStr">
        <is>
          <t>Samosa</t>
        </is>
      </c>
      <c r="C31" s="3" t="inlineStr">
        <is>
          <t>Snack, fried</t>
        </is>
      </c>
      <c r="D31" s="3" t="inlineStr">
        <is>
          <t>Street</t>
        </is>
      </c>
      <c r="E31" s="3" t="inlineStr">
        <is>
          <t>Lab-measured study if one exists, otherwise range from 2+ documented sources</t>
        </is>
      </c>
      <c r="F31" s="3" t="inlineStr">
        <is>
          <t>not started</t>
        </is>
      </c>
      <c r="G31" s="3" t="inlineStr">
        <is>
          <t>Close to onion bhaji (D004) in cooking method</t>
        </is>
      </c>
    </row>
    <row r="32">
      <c r="A32" s="3" t="n">
        <v>2</v>
      </c>
      <c r="B32" s="3" t="inlineStr">
        <is>
          <t>Pakora (veg)</t>
        </is>
      </c>
      <c r="C32" s="3" t="inlineStr">
        <is>
          <t>Snack, fried</t>
        </is>
      </c>
      <c r="D32" s="3" t="inlineStr">
        <is>
          <t>Street / home</t>
        </is>
      </c>
      <c r="E32" s="3" t="inlineStr">
        <is>
          <t>Lab-measured study if one exists, otherwise range from 2+ documented sources</t>
        </is>
      </c>
      <c r="F32" s="3" t="inlineStr">
        <is>
          <t>not started</t>
        </is>
      </c>
      <c r="G32" s="3" t="inlineStr"/>
    </row>
    <row r="33">
      <c r="A33" s="3" t="n">
        <v>2</v>
      </c>
      <c r="B33" s="3" t="inlineStr">
        <is>
          <t>Pav bhaji</t>
        </is>
      </c>
      <c r="C33" s="3" t="inlineStr">
        <is>
          <t>Street</t>
        </is>
      </c>
      <c r="D33" s="3" t="inlineStr">
        <is>
          <t>Street / restaurant</t>
        </is>
      </c>
      <c r="E33" s="3" t="inlineStr">
        <is>
          <t>Lab-measured study if one exists, otherwise range from 2+ documented sources</t>
        </is>
      </c>
      <c r="F33" s="3" t="inlineStr">
        <is>
          <t>not started</t>
        </is>
      </c>
      <c r="G33" s="3" t="inlineStr">
        <is>
          <t>Butter on the pav and in the bhaji</t>
        </is>
      </c>
    </row>
    <row r="34">
      <c r="A34" s="3" t="n">
        <v>2</v>
      </c>
      <c r="B34" s="3" t="inlineStr">
        <is>
          <t>Vada pav</t>
        </is>
      </c>
      <c r="C34" s="3" t="inlineStr">
        <is>
          <t>Street</t>
        </is>
      </c>
      <c r="D34" s="3" t="inlineStr">
        <is>
          <t>Street</t>
        </is>
      </c>
      <c r="E34" s="3" t="inlineStr">
        <is>
          <t>Lab-measured study if one exists, otherwise range from 2+ documented sources</t>
        </is>
      </c>
      <c r="F34" s="3" t="inlineStr">
        <is>
          <t>not started</t>
        </is>
      </c>
      <c r="G34" s="3" t="inlineStr"/>
    </row>
    <row r="35">
      <c r="A35" s="3" t="n">
        <v>2</v>
      </c>
      <c r="B35" s="3" t="inlineStr">
        <is>
          <t>Chole bhature</t>
        </is>
      </c>
      <c r="C35" s="3" t="inlineStr">
        <is>
          <t>Street</t>
        </is>
      </c>
      <c r="D35" s="3" t="inlineStr">
        <is>
          <t>Restaurant / street</t>
        </is>
      </c>
      <c r="E35" s="3" t="inlineStr">
        <is>
          <t>Lab-measured study if one exists, otherwise range from 2+ documented sources</t>
        </is>
      </c>
      <c r="F35" s="3" t="inlineStr">
        <is>
          <t>not started</t>
        </is>
      </c>
      <c r="G35" s="3" t="inlineStr"/>
    </row>
    <row r="36">
      <c r="A36" s="3" t="n">
        <v>2</v>
      </c>
      <c r="B36" s="3" t="inlineStr">
        <is>
          <t>Paneer tikka</t>
        </is>
      </c>
      <c r="C36" s="3" t="inlineStr">
        <is>
          <t>Starter</t>
        </is>
      </c>
      <c r="D36" s="3" t="inlineStr">
        <is>
          <t>Restaurant</t>
        </is>
      </c>
      <c r="E36" s="3" t="inlineStr">
        <is>
          <t>Lab-measured study if one exists, otherwise range from 2+ documented sources</t>
        </is>
      </c>
      <c r="F36" s="3" t="inlineStr">
        <is>
          <t>not started</t>
        </is>
      </c>
      <c r="G36" s="3" t="inlineStr">
        <is>
          <t>Compare with chicken tikka (D006)</t>
        </is>
      </c>
    </row>
    <row r="37">
      <c r="A37" s="3" t="n">
        <v>2</v>
      </c>
      <c r="B37" s="3" t="inlineStr">
        <is>
          <t>Tandoori chicken</t>
        </is>
      </c>
      <c r="C37" s="3" t="inlineStr">
        <is>
          <t>Starter</t>
        </is>
      </c>
      <c r="D37" s="3" t="inlineStr">
        <is>
          <t>Restaurant</t>
        </is>
      </c>
      <c r="E37" s="3" t="inlineStr">
        <is>
          <t>Lab-measured study if one exists, otherwise range from 2+ documented sources</t>
        </is>
      </c>
      <c r="F37" s="3" t="inlineStr">
        <is>
          <t>not started</t>
        </is>
      </c>
      <c r="G37" s="3" t="inlineStr"/>
    </row>
    <row r="38">
      <c r="A38" s="3" t="n">
        <v>2</v>
      </c>
      <c r="B38" s="3" t="inlineStr">
        <is>
          <t>Curd / raita</t>
        </is>
      </c>
      <c r="C38" s="3" t="inlineStr">
        <is>
          <t>Side</t>
        </is>
      </c>
      <c r="D38" s="3" t="inlineStr">
        <is>
          <t>Home / restaurant</t>
        </is>
      </c>
      <c r="E38" s="3" t="inlineStr">
        <is>
          <t>IFCT 2017 (NIN) for the base dish, plus oil quantity from a documented recipe</t>
        </is>
      </c>
      <c r="F38" s="3" t="inlineStr">
        <is>
          <t>not started</t>
        </is>
      </c>
      <c r="G38" s="3" t="inlineStr"/>
    </row>
    <row r="39">
      <c r="A39" s="3" t="n">
        <v>3</v>
      </c>
      <c r="B39" s="3" t="inlineStr">
        <is>
          <t>Pizza slice</t>
        </is>
      </c>
      <c r="C39" s="3" t="inlineStr">
        <is>
          <t>Chain</t>
        </is>
      </c>
      <c r="D39" s="3" t="inlineStr">
        <is>
          <t>Chain (India)</t>
        </is>
      </c>
      <c r="E39" s="3" t="inlineStr">
        <is>
          <t>Chain's published nutrition table (India site), then apply restaurant-label correction</t>
        </is>
      </c>
      <c r="F39" s="3" t="inlineStr">
        <is>
          <t>not started</t>
        </is>
      </c>
      <c r="G39" s="3" t="inlineStr"/>
    </row>
    <row r="40">
      <c r="A40" s="3" t="n">
        <v>3</v>
      </c>
      <c r="B40" s="3" t="inlineStr">
        <is>
          <t>Burger</t>
        </is>
      </c>
      <c r="C40" s="3" t="inlineStr">
        <is>
          <t>Chain</t>
        </is>
      </c>
      <c r="D40" s="3" t="inlineStr">
        <is>
          <t>Chain (India)</t>
        </is>
      </c>
      <c r="E40" s="3" t="inlineStr">
        <is>
          <t>Chain's published nutrition table (India site), then apply restaurant-label correction</t>
        </is>
      </c>
      <c r="F40" s="3" t="inlineStr">
        <is>
          <t>not started</t>
        </is>
      </c>
      <c r="G40" s="3" t="inlineStr"/>
    </row>
    <row r="41">
      <c r="A41" s="3" t="n">
        <v>3</v>
      </c>
      <c r="B41" s="3" t="inlineStr">
        <is>
          <t>French fries</t>
        </is>
      </c>
      <c r="C41" s="3" t="inlineStr">
        <is>
          <t>Chain</t>
        </is>
      </c>
      <c r="D41" s="3" t="inlineStr">
        <is>
          <t>Chain (India)</t>
        </is>
      </c>
      <c r="E41" s="3" t="inlineStr">
        <is>
          <t>Chain's published nutrition table (India site), then apply restaurant-label correction</t>
        </is>
      </c>
      <c r="F41" s="3" t="inlineStr">
        <is>
          <t>not started</t>
        </is>
      </c>
      <c r="G41"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0" customWidth="1" min="1" max="1"/>
    <col width="50" customWidth="1" min="2" max="2"/>
    <col width="80" customWidth="1" min="3" max="3"/>
    <col width="70" customWidth="1" min="4" max="4"/>
  </cols>
  <sheetData>
    <row r="1">
      <c r="A1" s="12" t="inlineStr">
        <is>
          <t>source_id</t>
        </is>
      </c>
      <c r="B1" s="12" t="inlineStr">
        <is>
          <t>what it is</t>
        </is>
      </c>
      <c r="C1" s="12" t="inlineStr">
        <is>
          <t>how the numbers were obtained</t>
        </is>
      </c>
      <c r="D1" s="12" t="inlineStr">
        <is>
          <t>link</t>
        </is>
      </c>
    </row>
    <row r="2">
      <c r="A2" s="3" t="inlineStr">
        <is>
          <t>S1</t>
        </is>
      </c>
      <c r="B2" s="3" t="inlineStr">
        <is>
          <t>safefood, What's in your Indian takeaway? (2015)</t>
        </is>
      </c>
      <c r="C2" s="3" t="inlineStr">
        <is>
          <t>Lab analysis. 280 takeaway samples from 36 outlets across Ireland and Northern Ireland, analysed by Foodtest Laboratories UK (energy, fat, protein, salt). Weighed portions. UK/Irish takeaway versions of dishes.</t>
        </is>
      </c>
      <c r="D2" s="3" t="inlineStr">
        <is>
          <t>https://safefood.net/admin/getmedia/bca7a58e-5818-4aa0-8dae-a53beb75ac07/whats-in-your-Indian-takeaway_1.aspx?ext=.pdf</t>
        </is>
      </c>
    </row>
    <row r="3">
      <c r="A3" s="3" t="inlineStr">
        <is>
          <t>S2</t>
        </is>
      </c>
      <c r="B3" s="3" t="inlineStr">
        <is>
          <t>USDA Standard Reference, Restaurant Foods: Chinese, chicken chow mein</t>
        </is>
      </c>
      <c r="C3" s="3" t="inlineStr">
        <is>
          <t>Published reference entry, per 100 g. Accessed through a mirror site, not the USDA database directly.</t>
        </is>
      </c>
      <c r="D3" s="3" t="inlineStr">
        <is>
          <t>https://getfoodfacts.com/food/restaurant-chinese-chicken-chow-mein-168083</t>
        </is>
      </c>
    </row>
    <row r="4">
      <c r="A4" s="3" t="inlineStr">
        <is>
          <t>S3</t>
        </is>
      </c>
      <c r="B4" s="3" t="inlineStr">
        <is>
          <t>Panda Express, Chow Mein side</t>
        </is>
      </c>
      <c r="C4" s="3" t="inlineStr">
        <is>
          <t>Chain-published nutrition label, as listed on Fitbit's food database.</t>
        </is>
      </c>
      <c r="D4" s="3" t="inlineStr">
        <is>
          <t>https://canarywww.fitbit.com/foods/Chow+Mein/13954683</t>
        </is>
      </c>
    </row>
    <row r="5">
      <c r="A5" s="3" t="inlineStr">
        <is>
          <t>S4</t>
        </is>
      </c>
      <c r="B5" s="3" t="inlineStr">
        <is>
          <t>FatSecret generic entries: Rajma, Rajma Chawal</t>
        </is>
      </c>
      <c r="C5" s="3" t="inlineStr">
        <is>
          <t>User-contributed database entries with no recipe or oil quantity. Lowest-grade source in this file.</t>
        </is>
      </c>
      <c r="D5" s="3" t="inlineStr">
        <is>
          <t>https://www.fatsecret.com.sg/calories-nutrition/generic/rajma-chawal</t>
        </is>
      </c>
    </row>
    <row r="6">
      <c r="A6" s="3" t="inlineStr">
        <is>
          <t>S5</t>
        </is>
      </c>
      <c r="B6" s="3" t="inlineStr">
        <is>
          <t>Indian Food Composition Tables 2017 (ICMR-NIN)</t>
        </is>
      </c>
      <c r="C6" s="3" t="inlineStr">
        <is>
          <t>Primary reference for Indian home-cooked and raw foods. NOT yet extracted into this file. Best base for the home-dish backlog.</t>
        </is>
      </c>
      <c r="D6" s="3" t="inlineStr">
        <is>
          <t>https://dspace.sduaher.ac.in/jspui/handle/123456789/9077</t>
        </is>
      </c>
    </row>
    <row r="7">
      <c r="A7" s="3" t="inlineStr">
        <is>
          <t>S6</t>
        </is>
      </c>
      <c r="B7" s="3" t="inlineStr">
        <is>
          <t>Tufts University, restaurant and frozen meal calorie accuracy (2010)</t>
        </is>
      </c>
      <c r="C7" s="3" t="inlineStr">
        <is>
          <t>Lab measurements of 39 restaurant and supermarket items against stated calories. Restaurant items averaged 18% more than stated.</t>
        </is>
      </c>
      <c r="D7" s="3" t="inlineStr">
        <is>
          <t>https://tuftsjournal.tufts.edu/2010/01_2/briefs/01/</t>
        </is>
      </c>
    </row>
    <row r="8">
      <c r="A8" s="3" t="inlineStr">
        <is>
          <t>S7</t>
        </is>
      </c>
      <c r="B8" s="3" t="inlineStr">
        <is>
          <t>Sunday Times / University of Greenwich lab test of UK chain takeaways</t>
        </is>
      </c>
      <c r="C8" s="3" t="inlineStr">
        <is>
          <t>20 samples. Only half within 20% of declared calories. One roomali roti: 727 kcal measured vs 236 declared.</t>
        </is>
      </c>
      <c r="D8" s="3" t="inlineStr">
        <is>
          <t>https://foodservicefootprint.com/restaurant-calorie-counts-are-wide-of-the-mark/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6" customWidth="1" min="1" max="1"/>
    <col width="16" customWidth="1" min="2" max="2"/>
    <col width="18" customWidth="1" min="3" max="3"/>
    <col width="16" customWidth="1" min="4" max="4"/>
    <col width="16" customWidth="1" min="5" max="5"/>
    <col width="16" customWidth="1" min="6" max="6"/>
    <col width="70" customWidth="1" min="7" max="7"/>
  </cols>
  <sheetData>
    <row r="1">
      <c r="A1" s="7" t="inlineStr">
        <is>
          <t>food</t>
        </is>
      </c>
      <c r="B1" s="7" t="inlineStr">
        <is>
          <t>raw_state</t>
        </is>
      </c>
      <c r="C1" s="7" t="inlineStr">
        <is>
          <t>cooked_state</t>
        </is>
      </c>
      <c r="D1" s="7" t="inlineStr">
        <is>
          <t>cooked_g_per_100g_raw_low</t>
        </is>
      </c>
      <c r="E1" s="7" t="inlineStr">
        <is>
          <t>cooked_g_per_100g_raw_high</t>
        </is>
      </c>
      <c r="F1" s="7" t="inlineStr">
        <is>
          <t>status</t>
        </is>
      </c>
      <c r="G1" s="7" t="inlineStr">
        <is>
          <t>notes</t>
        </is>
      </c>
    </row>
    <row r="2">
      <c r="A2" s="3" t="inlineStr">
        <is>
          <t>Rice, white</t>
        </is>
      </c>
      <c r="B2" s="3" t="inlineStr">
        <is>
          <t>dry grain</t>
        </is>
      </c>
      <c r="C2" s="3" t="inlineStr">
        <is>
          <t>boiled</t>
        </is>
      </c>
      <c r="D2" s="3" t="inlineStr">
        <is>
          <t>250</t>
        </is>
      </c>
      <c r="E2" s="3" t="inlineStr">
        <is>
          <t>300</t>
        </is>
      </c>
      <c r="F2" s="3" t="inlineStr">
        <is>
          <t>estimate, verify</t>
        </is>
      </c>
      <c r="G2" s="3" t="inlineStr">
        <is>
          <t>Water absorption varies with variety, soaking and cooking method. Verify against IFCT 2017.</t>
        </is>
      </c>
    </row>
    <row r="3">
      <c r="A3" s="3" t="inlineStr">
        <is>
          <t>Dal (toor, moong, masoor)</t>
        </is>
      </c>
      <c r="B3" s="3" t="inlineStr">
        <is>
          <t>dry split</t>
        </is>
      </c>
      <c r="C3" s="3" t="inlineStr">
        <is>
          <t>boiled</t>
        </is>
      </c>
      <c r="D3" s="3" t="inlineStr">
        <is>
          <t>200</t>
        </is>
      </c>
      <c r="E3" s="3" t="inlineStr">
        <is>
          <t>250</t>
        </is>
      </c>
      <c r="F3" s="3" t="inlineStr">
        <is>
          <t>estimate, verify</t>
        </is>
      </c>
      <c r="G3" s="3" t="inlineStr">
        <is>
          <t>Thickness of the dal changes this a lot. Offer katori as the main unit.</t>
        </is>
      </c>
    </row>
    <row r="4">
      <c r="A4" s="3" t="inlineStr">
        <is>
          <t>Rajma / chole</t>
        </is>
      </c>
      <c r="B4" s="3" t="inlineStr">
        <is>
          <t>dry</t>
        </is>
      </c>
      <c r="C4" s="3" t="inlineStr">
        <is>
          <t>boiled</t>
        </is>
      </c>
      <c r="D4" s="3" t="inlineStr">
        <is>
          <t>200</t>
        </is>
      </c>
      <c r="E4" s="3" t="inlineStr">
        <is>
          <t>250</t>
        </is>
      </c>
      <c r="F4" s="3" t="inlineStr">
        <is>
          <t>estimate, verify</t>
        </is>
      </c>
      <c r="G4" s="3" t="inlineStr">
        <is>
          <t>Soaking time matters.</t>
        </is>
      </c>
    </row>
    <row r="5">
      <c r="A5" s="3" t="inlineStr">
        <is>
          <t>Oats</t>
        </is>
      </c>
      <c r="B5" s="3" t="inlineStr">
        <is>
          <t>dry</t>
        </is>
      </c>
      <c r="C5" s="3" t="inlineStr">
        <is>
          <t>cooked with water</t>
        </is>
      </c>
      <c r="D5" s="3" t="inlineStr">
        <is>
          <t>200</t>
        </is>
      </c>
      <c r="E5" s="3" t="inlineStr">
        <is>
          <t>250</t>
        </is>
      </c>
      <c r="F5" s="3" t="inlineStr">
        <is>
          <t>estimate, verify</t>
        </is>
      </c>
      <c r="G5" s="3" t="inlineStr">
        <is>
          <t>Depends on how much water is used.</t>
        </is>
      </c>
    </row>
    <row r="6">
      <c r="A6" s="3" t="inlineStr">
        <is>
          <t>Pasta / noodles</t>
        </is>
      </c>
      <c r="B6" s="3" t="inlineStr">
        <is>
          <t>dry</t>
        </is>
      </c>
      <c r="C6" s="3" t="inlineStr">
        <is>
          <t>boiled</t>
        </is>
      </c>
      <c r="D6" s="3" t="inlineStr">
        <is>
          <t>200</t>
        </is>
      </c>
      <c r="E6" s="3" t="inlineStr">
        <is>
          <t>250</t>
        </is>
      </c>
      <c r="F6" s="3" t="inlineStr">
        <is>
          <t>estimate, verify</t>
        </is>
      </c>
      <c r="G6" s="3" t="inlineStr"/>
    </row>
    <row r="7">
      <c r="A7" s="3" t="inlineStr">
        <is>
          <t>Chicken breast, boneless</t>
        </is>
      </c>
      <c r="B7" s="3" t="inlineStr">
        <is>
          <t>raw</t>
        </is>
      </c>
      <c r="C7" s="3" t="inlineStr">
        <is>
          <t>cooked</t>
        </is>
      </c>
      <c r="D7" s="3" t="inlineStr">
        <is>
          <t>70</t>
        </is>
      </c>
      <c r="E7" s="3" t="inlineStr">
        <is>
          <t>80</t>
        </is>
      </c>
      <c r="F7" s="3" t="inlineStr">
        <is>
          <t>estimate, verify</t>
        </is>
      </c>
      <c r="G7" s="3" t="inlineStr">
        <is>
          <t>Loses water in cooking. Cooked is lighter than raw, so the factor is below 100.</t>
        </is>
      </c>
    </row>
    <row r="8">
      <c r="A8" s="3" t="inlineStr">
        <is>
          <t>Chicken, bone-in</t>
        </is>
      </c>
      <c r="B8" s="3" t="inlineStr">
        <is>
          <t>raw with bone</t>
        </is>
      </c>
      <c r="C8" s="3" t="inlineStr">
        <is>
          <t>cooked, with bone</t>
        </is>
      </c>
      <c r="D8" s="3" t="inlineStr"/>
      <c r="E8" s="3" t="inlineStr"/>
      <c r="F8" s="3" t="inlineStr">
        <is>
          <t>needs rule</t>
        </is>
      </c>
      <c r="G8" s="3" t="inlineStr">
        <is>
          <t>Edible share is lower. Offer bone-in vs boneless as a separate choice.</t>
        </is>
      </c>
    </row>
    <row r="9">
      <c r="A9" s="3" t="inlineStr">
        <is>
          <t>Paneer</t>
        </is>
      </c>
      <c r="B9" s="3" t="inlineStr">
        <is>
          <t>raw</t>
        </is>
      </c>
      <c r="C9" s="3" t="inlineStr">
        <is>
          <t>cooked in gravy</t>
        </is>
      </c>
      <c r="D9" s="3" t="inlineStr"/>
      <c r="E9" s="3" t="inlineStr"/>
      <c r="F9" s="3" t="inlineStr">
        <is>
          <t>needs rule</t>
        </is>
      </c>
      <c r="G9" s="3" t="inlineStr">
        <is>
          <t>Usually logged as the dish, not the ingredient.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2026-10-07T22:11:09Z</dcterms:created>
  <dcterms:modified xmlns:dcterms="http://purl.org/dc/terms/" xmlns:xsi="http://www.w3.org/2001/XMLSchema-instance" xsi:type="dcterms:W3CDTF">2026-10-07T22:11:09Z</dcterms:modified>
</cp:coreProperties>
</file>